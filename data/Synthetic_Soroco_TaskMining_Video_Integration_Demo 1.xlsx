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07908_cognizant_com/Documents/Desktop/PepsiCo/Archive/"/>
    </mc:Choice>
  </mc:AlternateContent>
  <xr:revisionPtr revIDLastSave="9" documentId="13_ncr:1_{ADCB0928-76BC-4DC8-AFC0-D892B0720F32}" xr6:coauthVersionLast="47" xr6:coauthVersionMax="47" xr10:uidLastSave="{0E6548E5-6703-4515-989F-B3B72E40C1BE}"/>
  <bookViews>
    <workbookView xWindow="-110" yWindow="-110" windowWidth="19420" windowHeight="10300" firstSheet="1" activeTab="1" xr2:uid="{00000000-000D-0000-FFFF-FFFF00000000}"/>
  </bookViews>
  <sheets>
    <sheet name="Transaction Summary" sheetId="1" r:id="rId1"/>
    <sheet name="Task Mining Events" sheetId="2" r:id="rId2"/>
    <sheet name="Video Analytics Events" sheetId="3" r:id="rId3"/>
    <sheet name="Unified Timeline" sheetId="4" r:id="rId4"/>
    <sheet name="Data Dictionary" sheetId="5" r:id="rId5"/>
    <sheet name="READM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</calcChain>
</file>

<file path=xl/sharedStrings.xml><?xml version="1.0" encoding="utf-8"?>
<sst xmlns="http://schemas.openxmlformats.org/spreadsheetml/2006/main" count="4151" uniqueCount="641">
  <si>
    <t>Multimodal Demonstration Summary</t>
  </si>
  <si>
    <t>Three synthetic transactions: billing delay, work-order creation delay, and request-to-appointment delay caused by tire-availability confirmation.</t>
  </si>
  <si>
    <t>Transaction</t>
  </si>
  <si>
    <t>Primary Delay Point</t>
  </si>
  <si>
    <t>Request ID</t>
  </si>
  <si>
    <t>Appointment ID</t>
  </si>
  <si>
    <t>Work Order ID</t>
  </si>
  <si>
    <t>Invoice Number</t>
  </si>
  <si>
    <t>Digital Event Count</t>
  </si>
  <si>
    <t>Digital Duration (min)</t>
  </si>
  <si>
    <t>Digital Wait (min)</t>
  </si>
  <si>
    <t>Video Window (min)</t>
  </si>
  <si>
    <t>Video Low Activity (min)</t>
  </si>
  <si>
    <t>Key Multimodal Finding</t>
  </si>
  <si>
    <t>T01 - Billing delayed; prior digital interactions on time</t>
  </si>
  <si>
    <t>Billing validation after physical completion</t>
  </si>
  <si>
    <t>REQ-202609-1001</t>
  </si>
  <si>
    <t>APT-20260918-1300</t>
  </si>
  <si>
    <t>WO-20260918-501</t>
  </si>
  <si>
    <t>INV-20260918-7001</t>
  </si>
  <si>
    <t>Physical service completed on time, but billing remained open; customer-ready status precedes invoice completion.</t>
  </si>
  <si>
    <t>T02 - Work-order creation delayed</t>
  </si>
  <si>
    <t>Work-order creation / validation</t>
  </si>
  <si>
    <t>REQ-202609-1002</t>
  </si>
  <si>
    <t>APT-20260918-1315</t>
  </si>
  <si>
    <t>WO-20260918-502</t>
  </si>
  <si>
    <t>INV-20260918-7002</t>
  </si>
  <si>
    <t>Video shows extended low activity while the WO remains unreleased; both modalities point to WO validation as the constraint.</t>
  </si>
  <si>
    <t>T03 - Request-to-appointment delayed by tire availability</t>
  </si>
  <si>
    <t>Request-to-appointment conversion / tyre availability</t>
  </si>
  <si>
    <t>REQ-202609-1003</t>
  </si>
  <si>
    <t>APT-20260918-1500</t>
  </si>
  <si>
    <t>WO-20260918-503</t>
  </si>
  <si>
    <t>INV-20260918-7003</t>
  </si>
  <si>
    <t>Digital task data shows a long tire-availability wait before appointment creation; later physical service flow is normal.</t>
  </si>
  <si>
    <t>Synthetic Soroco-style Task Mining Events</t>
  </si>
  <si>
    <t>Synthetic demonstration data only. Proposed Snowflake landing schema, not an asserted Soroco export contract. Three scenarios are included because three distinct transactions were described.</t>
  </si>
  <si>
    <t>Record Type</t>
  </si>
  <si>
    <t>Transaction Scenario</t>
  </si>
  <si>
    <t>Process UUID</t>
  </si>
  <si>
    <t>Process Name</t>
  </si>
  <si>
    <t>Process Instance UUID</t>
  </si>
  <si>
    <t>Activity UUID</t>
  </si>
  <si>
    <t>Activity Name</t>
  </si>
  <si>
    <t>Step UUID</t>
  </si>
  <si>
    <t>Step Sequence</t>
  </si>
  <si>
    <t>Step Name</t>
  </si>
  <si>
    <t>Event UUID</t>
  </si>
  <si>
    <t>Event Sequence</t>
  </si>
  <si>
    <t>Event Date</t>
  </si>
  <si>
    <t>Event Start Timestamp</t>
  </si>
  <si>
    <t>Event End Timestamp</t>
  </si>
  <si>
    <t>Duration Seconds</t>
  </si>
  <si>
    <t>User Session UUID</t>
  </si>
  <si>
    <t>Team / Role</t>
  </si>
  <si>
    <t>Anonymised User ID</t>
  </si>
  <si>
    <t>Workstation ID</t>
  </si>
  <si>
    <t>Application Name</t>
  </si>
  <si>
    <t>Application Module</t>
  </si>
  <si>
    <t>Window Title</t>
  </si>
  <si>
    <t>Screen / Page Name</t>
  </si>
  <si>
    <t>UI Element Type</t>
  </si>
  <si>
    <t>UI Element Label</t>
  </si>
  <si>
    <t>Action Type</t>
  </si>
  <si>
    <t>Action Subtype</t>
  </si>
  <si>
    <t>Input Method</t>
  </si>
  <si>
    <t>Keystroke Count</t>
  </si>
  <si>
    <t>Click Count</t>
  </si>
  <si>
    <t>Scroll Count</t>
  </si>
  <si>
    <t>Copy/Paste Flag</t>
  </si>
  <si>
    <t>Field Changed Flag</t>
  </si>
  <si>
    <t>Previous Screen</t>
  </si>
  <si>
    <t>Next Screen</t>
  </si>
  <si>
    <t>System Response Milliseconds</t>
  </si>
  <si>
    <t>Active Seconds</t>
  </si>
  <si>
    <t>Idle / Wait Seconds</t>
  </si>
  <si>
    <t>Wait Reason</t>
  </si>
  <si>
    <t>Outcome Status</t>
  </si>
  <si>
    <t>Exception Code</t>
  </si>
  <si>
    <t>Process Variant</t>
  </si>
  <si>
    <t>PO Number</t>
  </si>
  <si>
    <t>Member Token</t>
  </si>
  <si>
    <t>Vehicle Token</t>
  </si>
  <si>
    <t>Store ID</t>
  </si>
  <si>
    <t>Bay ID</t>
  </si>
  <si>
    <t>Tire SKU</t>
  </si>
  <si>
    <t>Correlation Session ID</t>
  </si>
  <si>
    <t>Source Platform</t>
  </si>
  <si>
    <t>Source Extract Date</t>
  </si>
  <si>
    <t>Ingestion Timestamp</t>
  </si>
  <si>
    <t>Correlation Confidence</t>
  </si>
  <si>
    <t>Synthetic Data Flag</t>
  </si>
  <si>
    <t>Task Mining Event</t>
  </si>
  <si>
    <t>PROC-TIRE-SVC-001</t>
  </si>
  <si>
    <t>Tire Service Request-to-Close</t>
  </si>
  <si>
    <t>PI-DE7FD0E643</t>
  </si>
  <si>
    <t>ACT-D47A486116</t>
  </si>
  <si>
    <t>Service Request Intake</t>
  </si>
  <si>
    <t>STEP-5528088A26</t>
  </si>
  <si>
    <t>Open request</t>
  </si>
  <si>
    <t>EVT-E9887E9382</t>
  </si>
  <si>
    <t>USRSES-E5D9A9B00E</t>
  </si>
  <si>
    <t>Tire Centre Associate</t>
  </si>
  <si>
    <t>TEAM_ASSOCIATE_A</t>
  </si>
  <si>
    <t>WS-TC-03</t>
  </si>
  <si>
    <t>CRM</t>
  </si>
  <si>
    <t>CRM - Request Search</t>
  </si>
  <si>
    <t>Request Search</t>
  </si>
  <si>
    <t>Text Field</t>
  </si>
  <si>
    <t>Keystroke</t>
  </si>
  <si>
    <t>User Interaction</t>
  </si>
  <si>
    <t>Keyboard</t>
  </si>
  <si>
    <t>N</t>
  </si>
  <si>
    <t>Y</t>
  </si>
  <si>
    <t>Completed</t>
  </si>
  <si>
    <t>Standard flow + billing delay</t>
  </si>
  <si>
    <t>PO-20260912-8801</t>
  </si>
  <si>
    <t>MBR-TKN-4F1A</t>
  </si>
  <si>
    <t>VEH-TKN-A921</t>
  </si>
  <si>
    <t>STORE-142</t>
  </si>
  <si>
    <t>BAY-02</t>
  </si>
  <si>
    <t>TIRE-SKU-225-65R17-A</t>
  </si>
  <si>
    <t>CORR-20260918-001</t>
  </si>
  <si>
    <t>Soroco Scout / Snowflake Landing</t>
  </si>
  <si>
    <t>ACT-E7F85ED731</t>
  </si>
  <si>
    <t>STEP-4679F264E4</t>
  </si>
  <si>
    <t>Review member and vehicle</t>
  </si>
  <si>
    <t>EVT-1E6EE54CA2</t>
  </si>
  <si>
    <t>CRM - Request Details</t>
  </si>
  <si>
    <t>Request Details</t>
  </si>
  <si>
    <t>Application</t>
  </si>
  <si>
    <t>Member / Vehicle Details</t>
  </si>
  <si>
    <t>Scroll</t>
  </si>
  <si>
    <t>System</t>
  </si>
  <si>
    <t>ACT-2258880F2E</t>
  </si>
  <si>
    <t>Inventory Confirmation</t>
  </si>
  <si>
    <t>STEP-F22D62B0DE</t>
  </si>
  <si>
    <t>Open tire inventory search</t>
  </si>
  <si>
    <t>EVT-5C331EF9B7</t>
  </si>
  <si>
    <t>Inventory Portal</t>
  </si>
  <si>
    <t>Inventory Portal - SKU Search</t>
  </si>
  <si>
    <t>SKU Search</t>
  </si>
  <si>
    <t>Button</t>
  </si>
  <si>
    <t>Search Inventory</t>
  </si>
  <si>
    <t>Click</t>
  </si>
  <si>
    <t>Mouse</t>
  </si>
  <si>
    <t>ACT-41E74A21FC</t>
  </si>
  <si>
    <t>STEP-4EFA713488</t>
  </si>
  <si>
    <t>Enter tire SKU and location</t>
  </si>
  <si>
    <t>EVT-6334DC6998</t>
  </si>
  <si>
    <t>SKU / Store</t>
  </si>
  <si>
    <t>ACT-6726B1DA08</t>
  </si>
  <si>
    <t>STEP-A86FB05109</t>
  </si>
  <si>
    <t>Confirm tire availability</t>
  </si>
  <si>
    <t>EVT-1AF6D9975D</t>
  </si>
  <si>
    <t>Inventory Portal - SKU Availability</t>
  </si>
  <si>
    <t>SKU Availability</t>
  </si>
  <si>
    <t>Available Quantity</t>
  </si>
  <si>
    <t>System Response</t>
  </si>
  <si>
    <t>Wait / Response</t>
  </si>
  <si>
    <t>ACT-F1690C2690</t>
  </si>
  <si>
    <t>Appointment Conversion</t>
  </si>
  <si>
    <t>STEP-E4D8CA5D33</t>
  </si>
  <si>
    <t>Open appointment calendar</t>
  </si>
  <si>
    <t>EVT-47FEF430B8</t>
  </si>
  <si>
    <t>Appointment Scheduler</t>
  </si>
  <si>
    <t>Appointment Scheduler - Calendar</t>
  </si>
  <si>
    <t>Calendar</t>
  </si>
  <si>
    <t>Open Calendar</t>
  </si>
  <si>
    <t>ACT-68A484CAAB</t>
  </si>
  <si>
    <t>STEP-A70059E5E7</t>
  </si>
  <si>
    <t>Select appointment slot</t>
  </si>
  <si>
    <t>EVT-BFF026FEAB</t>
  </si>
  <si>
    <t>Appointment Scheduler - Appointment Slot</t>
  </si>
  <si>
    <t>Appointment Slot</t>
  </si>
  <si>
    <t>Available Slot</t>
  </si>
  <si>
    <t>ACT-C03EEBF100</t>
  </si>
  <si>
    <t>STEP-EE29A95F20</t>
  </si>
  <si>
    <t>Confirm appointment and reminders</t>
  </si>
  <si>
    <t>EVT-137D2CB6E1</t>
  </si>
  <si>
    <t>Appointment Scheduler - Confirmation</t>
  </si>
  <si>
    <t>Confirmation</t>
  </si>
  <si>
    <t>Contact / Reminder</t>
  </si>
  <si>
    <t>ACT-4E17CD1475</t>
  </si>
  <si>
    <t>Member Check-in</t>
  </si>
  <si>
    <t>STEP-5028BDCFD6</t>
  </si>
  <si>
    <t>Find appointment</t>
  </si>
  <si>
    <t>EVT-2E269E9458</t>
  </si>
  <si>
    <t>Service Operations</t>
  </si>
  <si>
    <t>Service Operations - Appointment Search</t>
  </si>
  <si>
    <t>Appointment Search</t>
  </si>
  <si>
    <t>ACT-73B6735509</t>
  </si>
  <si>
    <t>STEP-979672BD05</t>
  </si>
  <si>
    <t>Confirm arrival and vehicle</t>
  </si>
  <si>
    <t>EVT-31F5DB8B9D</t>
  </si>
  <si>
    <t>Service Operations - Check-in</t>
  </si>
  <si>
    <t>Check-in</t>
  </si>
  <si>
    <t>Arrived</t>
  </si>
  <si>
    <t>ACT-C4203B180B</t>
  </si>
  <si>
    <t>Work Order Creation</t>
  </si>
  <si>
    <t>STEP-365F0B39B4</t>
  </si>
  <si>
    <t>Open work order screen</t>
  </si>
  <si>
    <t>EVT-82A27C8599</t>
  </si>
  <si>
    <t>Service Operations - Work Order</t>
  </si>
  <si>
    <t>Work Order</t>
  </si>
  <si>
    <t>Create Work Order</t>
  </si>
  <si>
    <t>ACT-1BC462AABF</t>
  </si>
  <si>
    <t>STEP-AEECB0C420</t>
  </si>
  <si>
    <t>Populate work order and fitment fields</t>
  </si>
  <si>
    <t>EVT-D6E96D9FA1</t>
  </si>
  <si>
    <t>Service Operations - Work Order Details</t>
  </si>
  <si>
    <t>Work Order Details</t>
  </si>
  <si>
    <t>Member / VIN / SKU</t>
  </si>
  <si>
    <t>Copy/Paste</t>
  </si>
  <si>
    <t>ACT-28D724D6D5</t>
  </si>
  <si>
    <t>STEP-931678B0C0</t>
  </si>
  <si>
    <t>Validate and create work order</t>
  </si>
  <si>
    <t>EVT-A47D06B4CA</t>
  </si>
  <si>
    <t>Service Operations - Validation</t>
  </si>
  <si>
    <t>Validation</t>
  </si>
  <si>
    <t>Validate / Create</t>
  </si>
  <si>
    <t>ACT-C0B3215829</t>
  </si>
  <si>
    <t>Service Monitoring</t>
  </si>
  <si>
    <t>STEP-026EB17486</t>
  </si>
  <si>
    <t>Open service status</t>
  </si>
  <si>
    <t>EVT-E1AA61A682</t>
  </si>
  <si>
    <t>Service Operations - Service Status</t>
  </si>
  <si>
    <t>Service Status</t>
  </si>
  <si>
    <t>Open Job</t>
  </si>
  <si>
    <t>ACT-88BC77C888</t>
  </si>
  <si>
    <t>Service Completion</t>
  </si>
  <si>
    <t>STEP-2661B0414F</t>
  </si>
  <si>
    <t>Record service completion</t>
  </si>
  <si>
    <t>EVT-EE7952DE03</t>
  </si>
  <si>
    <t>Service Operations - Completion</t>
  </si>
  <si>
    <t>Completion</t>
  </si>
  <si>
    <t>Complete Service</t>
  </si>
  <si>
    <t>ACT-FF7DA7C0CA</t>
  </si>
  <si>
    <t>Billing</t>
  </si>
  <si>
    <t>STEP-ACA0EBF5A3</t>
  </si>
  <si>
    <t>Open billing screen</t>
  </si>
  <si>
    <t>EVT-EBDEC11AA1</t>
  </si>
  <si>
    <t>POS / Billing</t>
  </si>
  <si>
    <t>POS / Billing - Invoice</t>
  </si>
  <si>
    <t>Invoice</t>
  </si>
  <si>
    <t>Create Invoice</t>
  </si>
  <si>
    <t>ACT-611A07081C</t>
  </si>
  <si>
    <t>STEP-7ED6CCB9C0</t>
  </si>
  <si>
    <t>Wait for invoice line and pricing validation</t>
  </si>
  <si>
    <t>EVT-AA45AF6FA8</t>
  </si>
  <si>
    <t>POS / Billing - Invoice Details</t>
  </si>
  <si>
    <t>Invoice Details</t>
  </si>
  <si>
    <t>Validate Charges</t>
  </si>
  <si>
    <t>Wait</t>
  </si>
  <si>
    <t>Billing integration / pricing response delayed after physical completion</t>
  </si>
  <si>
    <t>Delayed</t>
  </si>
  <si>
    <t>BILLING_VALIDATION_WAIT</t>
  </si>
  <si>
    <t>ACT-DE63A8DC3D</t>
  </si>
  <si>
    <t>STEP-A45EF1309D</t>
  </si>
  <si>
    <t>Review and correct invoice lines</t>
  </si>
  <si>
    <t>EVT-3C49591E42</t>
  </si>
  <si>
    <t>Invoice Line / Price / Tax</t>
  </si>
  <si>
    <t>Invoice exception correction</t>
  </si>
  <si>
    <t>BILLING_REWORK</t>
  </si>
  <si>
    <t>ACT-78A4F7CBFD</t>
  </si>
  <si>
    <t>Payment</t>
  </si>
  <si>
    <t>STEP-F186B11BD9</t>
  </si>
  <si>
    <t>Record payment status</t>
  </si>
  <si>
    <t>EVT-E2D3730E2C</t>
  </si>
  <si>
    <t>POS / Billing - Payment</t>
  </si>
  <si>
    <t>Payment Complete</t>
  </si>
  <si>
    <t>ACT-AC722F25E0</t>
  </si>
  <si>
    <t>Customer Notification</t>
  </si>
  <si>
    <t>STEP-8CBA4F4ACF</t>
  </si>
  <si>
    <t>Send completion notification</t>
  </si>
  <si>
    <t>EVT-E40EC1CFDE</t>
  </si>
  <si>
    <t>CRM - Notification</t>
  </si>
  <si>
    <t>Notification</t>
  </si>
  <si>
    <t>Send SMS / Email</t>
  </si>
  <si>
    <t>PI-C4D5EA06D5</t>
  </si>
  <si>
    <t>ACT-2E911DCE17</t>
  </si>
  <si>
    <t>STEP-FD5EF769AF</t>
  </si>
  <si>
    <t>EVT-B7B37DBD05</t>
  </si>
  <si>
    <t>USRSES-5FAB6F7F0F</t>
  </si>
  <si>
    <t>TEAM_ASSOCIATE_B</t>
  </si>
  <si>
    <t>WS-TC-04</t>
  </si>
  <si>
    <t>WO validation delay</t>
  </si>
  <si>
    <t>PO-20260913-8802</t>
  </si>
  <si>
    <t>MBR-TKN-62CD</t>
  </si>
  <si>
    <t>VEH-TKN-B184</t>
  </si>
  <si>
    <t>BAY-03</t>
  </si>
  <si>
    <t>TIRE-SKU-235-55R18-B</t>
  </si>
  <si>
    <t>CORR-20260918-002</t>
  </si>
  <si>
    <t>ACT-AB50D2FB44</t>
  </si>
  <si>
    <t>STEP-8B2E85371F</t>
  </si>
  <si>
    <t>EVT-F820109141</t>
  </si>
  <si>
    <t>ACT-D9BEF30D7F</t>
  </si>
  <si>
    <t>STEP-12BA9F704D</t>
  </si>
  <si>
    <t>EVT-0A1ABF4B5D</t>
  </si>
  <si>
    <t>ACT-F7B7E9FA6D</t>
  </si>
  <si>
    <t>STEP-05356184EA</t>
  </si>
  <si>
    <t>EVT-3812FB2EEE</t>
  </si>
  <si>
    <t>ACT-0DA477BEDB</t>
  </si>
  <si>
    <t>STEP-6E2CF872E6</t>
  </si>
  <si>
    <t>EVT-67AE4F234B</t>
  </si>
  <si>
    <t>ACT-4935531170</t>
  </si>
  <si>
    <t>STEP-8860A6B86A</t>
  </si>
  <si>
    <t>EVT-EF3927450A</t>
  </si>
  <si>
    <t>ACT-0FB45DB875</t>
  </si>
  <si>
    <t>STEP-906034EEFC</t>
  </si>
  <si>
    <t>EVT-6DF929C550</t>
  </si>
  <si>
    <t>ACT-8B56AD76C7</t>
  </si>
  <si>
    <t>STEP-F8F25ABC9E</t>
  </si>
  <si>
    <t>EVT-7FA201ABEE</t>
  </si>
  <si>
    <t>ACT-64CFECC96C</t>
  </si>
  <si>
    <t>STEP-BB317A3D0E</t>
  </si>
  <si>
    <t>EVT-9D3F3ECDDA</t>
  </si>
  <si>
    <t>ACT-FB86770FD5</t>
  </si>
  <si>
    <t>STEP-9ED2BEF17D</t>
  </si>
  <si>
    <t>EVT-414F591430</t>
  </si>
  <si>
    <t>ACT-424FE8E3DA</t>
  </si>
  <si>
    <t>STEP-D694808F4E</t>
  </si>
  <si>
    <t>EVT-9643B32A40</t>
  </si>
  <si>
    <t>ACT-557F15F762</t>
  </si>
  <si>
    <t>STEP-FEA43BA437</t>
  </si>
  <si>
    <t>EVT-1868DFA73E</t>
  </si>
  <si>
    <t>ACT-2E0F9437ED</t>
  </si>
  <si>
    <t>STEP-F13AE7FE28</t>
  </si>
  <si>
    <t>Wait for fitment and work-order validation</t>
  </si>
  <si>
    <t>EVT-036CDF5A99</t>
  </si>
  <si>
    <t>Validate Work Order</t>
  </si>
  <si>
    <t>Longest low-activity period aligned to video study</t>
  </si>
  <si>
    <t>WO_VALIDATION_WAIT</t>
  </si>
  <si>
    <t>ACT-EE45817E70</t>
  </si>
  <si>
    <t>STEP-D5F4F05948</t>
  </si>
  <si>
    <t>Resolve validation exception and re-submit</t>
  </si>
  <si>
    <t>EVT-669DD395F0</t>
  </si>
  <si>
    <t>Service Operations - Validation Exception</t>
  </si>
  <si>
    <t>Validation Exception</t>
  </si>
  <si>
    <t>Correct Vehicle / SKU Mapping</t>
  </si>
  <si>
    <t>Exception resolution</t>
  </si>
  <si>
    <t>WO_VALIDATION_REWORK</t>
  </si>
  <si>
    <t>ACT-F9D5273605</t>
  </si>
  <si>
    <t>STEP-5C2B53285A</t>
  </si>
  <si>
    <t>Work order created</t>
  </si>
  <si>
    <t>EVT-CF206F9E09</t>
  </si>
  <si>
    <t>Service Operations - Work Order Created</t>
  </si>
  <si>
    <t>Work Order Created</t>
  </si>
  <si>
    <t>ACT-15962D3258</t>
  </si>
  <si>
    <t>STEP-D5F0290E4D</t>
  </si>
  <si>
    <t>EVT-EE6C9E49BB</t>
  </si>
  <si>
    <t>ACT-1667093860</t>
  </si>
  <si>
    <t>STEP-0AE848AF9A</t>
  </si>
  <si>
    <t>EVT-87106C9C9A</t>
  </si>
  <si>
    <t>ACT-FBDD2B7BE3</t>
  </si>
  <si>
    <t>STEP-AB660992FF</t>
  </si>
  <si>
    <t>EVT-E6D3F87B91</t>
  </si>
  <si>
    <t>ACT-82054B2FF7</t>
  </si>
  <si>
    <t>STEP-FFE4FCB251</t>
  </si>
  <si>
    <t>Validate invoice lines and charges</t>
  </si>
  <si>
    <t>EVT-D0BA03A979</t>
  </si>
  <si>
    <t>ACT-67D7995A37</t>
  </si>
  <si>
    <t>STEP-766483A296</t>
  </si>
  <si>
    <t>EVT-5B152B3D47</t>
  </si>
  <si>
    <t>ACT-4180329AF5</t>
  </si>
  <si>
    <t>STEP-F80065A2BD</t>
  </si>
  <si>
    <t>EVT-0DE68420BA</t>
  </si>
  <si>
    <t>PI-A9E526752A</t>
  </si>
  <si>
    <t>ACT-3D31F3513A</t>
  </si>
  <si>
    <t>STEP-2743AF2AEE</t>
  </si>
  <si>
    <t>EVT-4F940D9C2C</t>
  </si>
  <si>
    <t>USRSES-F43EEDF56F</t>
  </si>
  <si>
    <t>TEAM_ASSOCIATE_C</t>
  </si>
  <si>
    <t>WS-TC-05</t>
  </si>
  <si>
    <t>Inventory confirmation delay</t>
  </si>
  <si>
    <t>PO-20260915-8803</t>
  </si>
  <si>
    <t>MBR-TKN-8A70</t>
  </si>
  <si>
    <t>VEH-TKN-C557</t>
  </si>
  <si>
    <t>BAY-04</t>
  </si>
  <si>
    <t>TIRE-SKU-245-60R18-C</t>
  </si>
  <si>
    <t>CORR-20260918-003</t>
  </si>
  <si>
    <t>ACT-53484F2966</t>
  </si>
  <si>
    <t>STEP-22274F260F</t>
  </si>
  <si>
    <t>EVT-F6C8195247</t>
  </si>
  <si>
    <t>ACT-6B1E2808DB</t>
  </si>
  <si>
    <t>STEP-62F18EBE9B</t>
  </si>
  <si>
    <t>EVT-BD5CFBEB1E</t>
  </si>
  <si>
    <t>ACT-6EA657C9EE</t>
  </si>
  <si>
    <t>STEP-82FE0B4A8C</t>
  </si>
  <si>
    <t>EVT-153DAB3FD2</t>
  </si>
  <si>
    <t>ACT-C7754A5130</t>
  </si>
  <si>
    <t>STEP-F628EB0ECE</t>
  </si>
  <si>
    <t>Wait for tire availability confirmation</t>
  </si>
  <si>
    <t>EVT-8540A1B797</t>
  </si>
  <si>
    <t>Availability Response</t>
  </si>
  <si>
    <t>Tire availability could not be confirmed; repeated supplier/store lookup</t>
  </si>
  <si>
    <t>INV_AVAIL_WAIT</t>
  </si>
  <si>
    <t>ACT-29FA490544</t>
  </si>
  <si>
    <t>STEP-C0545D2D61</t>
  </si>
  <si>
    <t>Retry availability and preferred source check</t>
  </si>
  <si>
    <t>EVT-1ABF43B1EA</t>
  </si>
  <si>
    <t>Inventory Portal - Preferred Source</t>
  </si>
  <si>
    <t>Preferred Source</t>
  </si>
  <si>
    <t>Refresh / Alternate Source</t>
  </si>
  <si>
    <t>Alternate source comparison</t>
  </si>
  <si>
    <t>INV_AVAIL_RETRY</t>
  </si>
  <si>
    <t>ACT-9F0267B402</t>
  </si>
  <si>
    <t>STEP-CB39E688E6</t>
  </si>
  <si>
    <t>EVT-C279AC3049</t>
  </si>
  <si>
    <t>ACT-20D537082E</t>
  </si>
  <si>
    <t>STEP-47AE8561F0</t>
  </si>
  <si>
    <t>EVT-3D808B4BD0</t>
  </si>
  <si>
    <t>ACT-65CA989A8B</t>
  </si>
  <si>
    <t>STEP-33AC9FE241</t>
  </si>
  <si>
    <t>EVT-A2E136A1D4</t>
  </si>
  <si>
    <t>ACT-0C2E8CD75A</t>
  </si>
  <si>
    <t>STEP-6D457CC02C</t>
  </si>
  <si>
    <t>EVT-34E649D902</t>
  </si>
  <si>
    <t>ACT-73545AD3E4</t>
  </si>
  <si>
    <t>STEP-444C0451A0</t>
  </si>
  <si>
    <t>EVT-18D94BE574</t>
  </si>
  <si>
    <t>ACT-3E693A3CD4</t>
  </si>
  <si>
    <t>STEP-DF4B06D4FE</t>
  </si>
  <si>
    <t>EVT-CB42B6052B</t>
  </si>
  <si>
    <t>ACT-1A2BC13BE1</t>
  </si>
  <si>
    <t>STEP-0DCE377FB1</t>
  </si>
  <si>
    <t>EVT-B53DFD53FC</t>
  </si>
  <si>
    <t>ACT-AD04528984</t>
  </si>
  <si>
    <t>STEP-4BE0F4BB42</t>
  </si>
  <si>
    <t>EVT-8BA6346C1F</t>
  </si>
  <si>
    <t>ACT-7393B6F537</t>
  </si>
  <si>
    <t>STEP-E3BA3CFB1C</t>
  </si>
  <si>
    <t>EVT-ACD48F73E3</t>
  </si>
  <si>
    <t>ACT-EA89873C0E</t>
  </si>
  <si>
    <t>STEP-5B94AD4466</t>
  </si>
  <si>
    <t>EVT-1B1F8232FD</t>
  </si>
  <si>
    <t>ACT-9DB4009BF2</t>
  </si>
  <si>
    <t>STEP-9AC7EC227B</t>
  </si>
  <si>
    <t>EVT-08211AB6AB</t>
  </si>
  <si>
    <t>ACT-9FA9DD6BD4</t>
  </si>
  <si>
    <t>STEP-A933A86444</t>
  </si>
  <si>
    <t>EVT-C6311EA4CE</t>
  </si>
  <si>
    <t>ACT-7A1A115947</t>
  </si>
  <si>
    <t>STEP-1A6A164E53</t>
  </si>
  <si>
    <t>EVT-3BA182935A</t>
  </si>
  <si>
    <t>ACT-9EAEC110FF</t>
  </si>
  <si>
    <t>STEP-72D1E9314B</t>
  </si>
  <si>
    <t>EVT-E2C6763FEC</t>
  </si>
  <si>
    <t>Synthetic Video Time-Series Events</t>
  </si>
  <si>
    <t>T02 mirrors the supplied 13:17:17–13:34:22 observation window and contains a 9.75-minute low-activity segment. All rows are synthetic.</t>
  </si>
  <si>
    <t>Video Event UUID</t>
  </si>
  <si>
    <t>Camera ID</t>
  </si>
  <si>
    <t>Zone</t>
  </si>
  <si>
    <t>Segment Start Timestamp</t>
  </si>
  <si>
    <t>Segment End Timestamp</t>
  </si>
  <si>
    <t>Observed Activity</t>
  </si>
  <si>
    <t>Activity Classification</t>
  </si>
  <si>
    <t>Vehicle Present</t>
  </si>
  <si>
    <t>Technician Present</t>
  </si>
  <si>
    <t>Bay Occupied</t>
  </si>
  <si>
    <t>Lift State</t>
  </si>
  <si>
    <t>Low Activity Flag</t>
  </si>
  <si>
    <t>Pause Count</t>
  </si>
  <si>
    <t>CV Confidence</t>
  </si>
  <si>
    <t>VID-D2A985DF27</t>
  </si>
  <si>
    <t>CAM-02</t>
  </si>
  <si>
    <t>Service Bay</t>
  </si>
  <si>
    <t>Vehicle positioned; technician active</t>
  </si>
  <si>
    <t>Value Added</t>
  </si>
  <si>
    <t>Raised</t>
  </si>
  <si>
    <t>VID-52319FA8BA</t>
  </si>
  <si>
    <t>Tire fitment, balancing and torque</t>
  </si>
  <si>
    <t>VID-0D9EF2B5C7</t>
  </si>
  <si>
    <t>Quality check and bay exit preparation</t>
  </si>
  <si>
    <t>Necessary but Non-Value Added</t>
  </si>
  <si>
    <t>Lowering</t>
  </si>
  <si>
    <t>VID-F15DD0672F</t>
  </si>
  <si>
    <t>Pickup / Bay</t>
  </si>
  <si>
    <t>Vehicle ready; no bay activity while invoice remains open</t>
  </si>
  <si>
    <t>Potential Non-Value Added / Low Activity</t>
  </si>
  <si>
    <t>Idle</t>
  </si>
  <si>
    <t>VID-86AB42F8D5</t>
  </si>
  <si>
    <t>CAM-03</t>
  </si>
  <si>
    <t>Technician present at vehicle</t>
  </si>
  <si>
    <t>Ground</t>
  </si>
  <si>
    <t>VID-994D0116D9</t>
  </si>
  <si>
    <t>Vehicle staged; brief preparation</t>
  </si>
  <si>
    <t>VID-441C5D9FA5</t>
  </si>
  <si>
    <t>Vehicle staged; low visible activity during WO validation</t>
  </si>
  <si>
    <t>VID-E12B420855</t>
  </si>
  <si>
    <t>Associate returns to service area</t>
  </si>
  <si>
    <t>VID-5EE5D4F397</t>
  </si>
  <si>
    <t>Intermittent low activity until digital release</t>
  </si>
  <si>
    <t>VID-D279CA558E</t>
  </si>
  <si>
    <t>Technician begins preparation after WO release</t>
  </si>
  <si>
    <t>Activating</t>
  </si>
  <si>
    <t>VID-C1F9B84139</t>
  </si>
  <si>
    <t>CAM-04</t>
  </si>
  <si>
    <t>Vehicle positioned and bay preparation</t>
  </si>
  <si>
    <t>VID-E13E9BC12D</t>
  </si>
  <si>
    <t>Installation, balancing and torque</t>
  </si>
  <si>
    <t>VID-F38D182823</t>
  </si>
  <si>
    <t>Quality check and vehicle exit</t>
  </si>
  <si>
    <t>Correlated Multimodal Event Timeline</t>
  </si>
  <si>
    <t>Filter by transaction and timestamp to demonstrate how task-mining events and video-derived time-series events form one cohesive operational timeline.</t>
  </si>
  <si>
    <t>Sequence</t>
  </si>
  <si>
    <t>Event Start</t>
  </si>
  <si>
    <t>Event End</t>
  </si>
  <si>
    <t>Modality</t>
  </si>
  <si>
    <t>Lifecycle Stage</t>
  </si>
  <si>
    <t>Unified Event</t>
  </si>
  <si>
    <t>Observation</t>
  </si>
  <si>
    <t>Exception / Insight</t>
  </si>
  <si>
    <t>Synthetic Flag</t>
  </si>
  <si>
    <t>Digital / Task Mining</t>
  </si>
  <si>
    <t>CRM | Request Search | Keystroke | Request ID</t>
  </si>
  <si>
    <t>CRM | Request Details | Scroll | Member / Vehicle Details</t>
  </si>
  <si>
    <t>Inventory Portal | SKU Search | Click | Search Inventory</t>
  </si>
  <si>
    <t>Inventory Portal | SKU Search | Keystroke | SKU / Store</t>
  </si>
  <si>
    <t>Inventory Portal | SKU Availability | System Response | Available Quantity</t>
  </si>
  <si>
    <t>Appointment Scheduler | Calendar | Click | Open Calendar</t>
  </si>
  <si>
    <t>Appointment Scheduler | Appointment Slot | Click | Available Slot</t>
  </si>
  <si>
    <t>Appointment Scheduler | Confirmation | Keystroke | Contact / Reminder</t>
  </si>
  <si>
    <t>Service Operations | Appointment Search | Keystroke | Appointment ID</t>
  </si>
  <si>
    <t>Service Operations | Check-in | Click | Arrived</t>
  </si>
  <si>
    <t>Service Operations | Work Order | Click | Create Work Order</t>
  </si>
  <si>
    <t>Service Operations | Work Order Details | Copy/Paste | Member / VIN / SKU</t>
  </si>
  <si>
    <t>Service Operations | Validation | Click | Validate / Create</t>
  </si>
  <si>
    <t>Physical / Video Analytics</t>
  </si>
  <si>
    <t>Physical Execution</t>
  </si>
  <si>
    <t>Zone=Service Bay; Class=Value Added; Technician=Y; Lift=Raised</t>
  </si>
  <si>
    <t>Service Operations | Service Status | Click | Open Job</t>
  </si>
  <si>
    <t>Zone=Service Bay; Class=Necessary but Non-Value Added; Technician=Y; Lift=Lowering</t>
  </si>
  <si>
    <t>Service Operations | Completion | Click | Complete Service</t>
  </si>
  <si>
    <t>Zone=Pickup / Bay; Class=Potential Non-Value Added / Low Activity; Technician=N; Lift=Idle</t>
  </si>
  <si>
    <t>Low activity observed</t>
  </si>
  <si>
    <t>POS / Billing | Invoice | Click | Create Invoice</t>
  </si>
  <si>
    <t>POS / Billing | Invoice Details | Wait | Validate Charges</t>
  </si>
  <si>
    <t>POS / Billing | Invoice Details | Keystroke | Invoice Line / Price / Tax</t>
  </si>
  <si>
    <t>POS / Billing | Payment | Click | Payment Complete</t>
  </si>
  <si>
    <t>CRM | Notification | Click | Send SMS / Email</t>
  </si>
  <si>
    <t>Zone=Service Bay; Class=Value Added; Technician=Y; Lift=Ground</t>
  </si>
  <si>
    <t>Zone=Service Bay; Class=Necessary but Non-Value Added; Technician=Y; Lift=Ground</t>
  </si>
  <si>
    <t>Service Operations | Validation | Wait | Validate Work Order</t>
  </si>
  <si>
    <t>Zone=Service Bay; Class=Potential Non-Value Added / Low Activity; Technician=N; Lift=Ground</t>
  </si>
  <si>
    <t>Service Operations | Validation Exception | Keystroke | Correct Vehicle / SKU Mapping</t>
  </si>
  <si>
    <t>Service Operations | Work Order Created | System Response | Work Order ID</t>
  </si>
  <si>
    <t>Zone=Service Bay; Class=Value Added; Technician=Y; Lift=Activating</t>
  </si>
  <si>
    <t>POS / Billing | Invoice Details | Click | Validate Charges</t>
  </si>
  <si>
    <t>Inventory Portal | SKU Availability | Wait | Availability Response</t>
  </si>
  <si>
    <t>Inventory Portal | Preferred Source | Click | Refresh / Alternate Source</t>
  </si>
  <si>
    <t>Zone=Service Bay; Class=Necessary but Non-Value Added; Technician=Y; Lift=Activating</t>
  </si>
  <si>
    <t>Proposed Snowflake Landing Schema - Data Dictionary</t>
  </si>
  <si>
    <t>Public and internal sources confirm interaction data such as clicks and keystrokes, but not this exact field-level contract. Treat this as a proposed synthetic schema for the demo.</t>
  </si>
  <si>
    <t>Field Name</t>
  </si>
  <si>
    <t>Definition</t>
  </si>
  <si>
    <t>Source / Layer</t>
  </si>
  <si>
    <t>Implementation Note</t>
  </si>
  <si>
    <t>Proposed task-mining event attribute: Record Type.</t>
  </si>
  <si>
    <t>Soroco-style task mining / proposed Snowflake landing schema</t>
  </si>
  <si>
    <t>Confirm exact field name and export contract with Soroco and Cognizant data engineering.</t>
  </si>
  <si>
    <t>Proposed task-mining event attribute: Transaction Scenario.</t>
  </si>
  <si>
    <t>Stable identifier for the process definition.</t>
  </si>
  <si>
    <t>Proposed task-mining event attribute: Process Name.</t>
  </si>
  <si>
    <t>Unique execution of the end-to-end process.</t>
  </si>
  <si>
    <t>Unique identifier for an activity occurrence.</t>
  </si>
  <si>
    <t>Proposed task-mining event attribute: Activity Name.</t>
  </si>
  <si>
    <t>Unique identifier for the observed step.</t>
  </si>
  <si>
    <t>Proposed task-mining event attribute: Step Sequence.</t>
  </si>
  <si>
    <t>Proposed task-mining event attribute: Step Name.</t>
  </si>
  <si>
    <t>Unique identifier for the raw interaction event.</t>
  </si>
  <si>
    <t>Proposed task-mining event attribute: Event Sequence.</t>
  </si>
  <si>
    <t>Proposed task-mining event attribute: Event Date.</t>
  </si>
  <si>
    <t>Proposed task-mining event attribute: Event Start Timestamp.</t>
  </si>
  <si>
    <t>Proposed task-mining event attribute: Event End Timestamp.</t>
  </si>
  <si>
    <t>Proposed task-mining event attribute: Duration Seconds.</t>
  </si>
  <si>
    <t>Proposed task-mining event attribute: User Session UUID.</t>
  </si>
  <si>
    <t>Proposed task-mining event attribute: Team / Role.</t>
  </si>
  <si>
    <t>Anonymised team/user token.</t>
  </si>
  <si>
    <t>Proposed task-mining event attribute: Workstation ID.</t>
  </si>
  <si>
    <t>Proposed task-mining event attribute: Application Name.</t>
  </si>
  <si>
    <t>Proposed task-mining event attribute: Application Module.</t>
  </si>
  <si>
    <t>Proposed task-mining event attribute: Window Title.</t>
  </si>
  <si>
    <t>Proposed task-mining event attribute: Screen / Page Name.</t>
  </si>
  <si>
    <t>Proposed task-mining event attribute: UI Element Type.</t>
  </si>
  <si>
    <t>Proposed task-mining event attribute: UI Element Label.</t>
  </si>
  <si>
    <t>Observed interaction: Click, Keystroke, Scroll, Copy/Paste, Wait or System Response.</t>
  </si>
  <si>
    <t>Proposed task-mining event attribute: Action Subtype.</t>
  </si>
  <si>
    <t>Proposed task-mining event attribute: Input Method.</t>
  </si>
  <si>
    <t>Proposed task-mining event attribute: Keystroke Count.</t>
  </si>
  <si>
    <t>Proposed task-mining event attribute: Click Count.</t>
  </si>
  <si>
    <t>Proposed task-mining event attribute: Scroll Count.</t>
  </si>
  <si>
    <t>Proposed task-mining event attribute: Copy/Paste Flag.</t>
  </si>
  <si>
    <t>Proposed task-mining event attribute: Field Changed Flag.</t>
  </si>
  <si>
    <t>Proposed task-mining event attribute: Previous Screen.</t>
  </si>
  <si>
    <t>Proposed task-mining event attribute: Next Screen.</t>
  </si>
  <si>
    <t>Observed response time following a user action.</t>
  </si>
  <si>
    <t>Proposed task-mining event attribute: Active Seconds.</t>
  </si>
  <si>
    <t>Time with no active digital interaction during the step.</t>
  </si>
  <si>
    <t>Proposed task-mining event attribute: Wait Reason.</t>
  </si>
  <si>
    <t>Proposed task-mining event attribute: Outcome Status.</t>
  </si>
  <si>
    <t>Proposed task-mining event attribute: Exception Code.</t>
  </si>
  <si>
    <t>Proposed task-mining event attribute: Process Variant.</t>
  </si>
  <si>
    <t>Initial service-request identifier.</t>
  </si>
  <si>
    <t>Identifier created when a request becomes a confirmed appointment.</t>
  </si>
  <si>
    <t>Primary service-execution identifier used for digital-physical correlation.</t>
  </si>
  <si>
    <t>Purchase-order identifier linked to tire sourcing or replenishment.</t>
  </si>
  <si>
    <t>Billing identifier created after service completion.</t>
  </si>
  <si>
    <t>Proposed task-mining event attribute: Member Token.</t>
  </si>
  <si>
    <t>Proposed task-mining event attribute: Vehicle Token.</t>
  </si>
  <si>
    <t>Proposed task-mining event attribute: Store ID.</t>
  </si>
  <si>
    <t>Proposed task-mining event attribute: Bay ID.</t>
  </si>
  <si>
    <t>Proposed task-mining event attribute: Tire SKU.</t>
  </si>
  <si>
    <t>Cross-modal key joining digital and video event streams.</t>
  </si>
  <si>
    <t>Proposed task-mining event attribute: Source Platform.</t>
  </si>
  <si>
    <t>Proposed task-mining event attribute: Source Extract Date.</t>
  </si>
  <si>
    <t>Proposed task-mining event attribute: Ingestion Timestamp.</t>
  </si>
  <si>
    <t>Confidence assigned to event-to-transaction match.</t>
  </si>
  <si>
    <t>Indicates demonstration data rather than production data.</t>
  </si>
  <si>
    <t>Synthetic Multimodal Operations Dataset</t>
  </si>
  <si>
    <t>Use this workbook as a demo data contract and correlation example, not as production Soroco data.</t>
  </si>
  <si>
    <t>Section</t>
  </si>
  <si>
    <t>Details</t>
  </si>
  <si>
    <t>Purpose</t>
  </si>
  <si>
    <t>Demonstrate how Soroco-style task-mining events in Snowflake can be correlated with video analytics using shared identifiers and timestamps.</t>
  </si>
  <si>
    <t>Task Mining Events</t>
  </si>
  <si>
    <t>Detailed synthetic desktop interactions with UUIDs, screen actions, identifiers, waits and correlation metadata.</t>
  </si>
  <si>
    <t>Video Analytics Events</t>
  </si>
  <si>
    <t>Synthetic physical time-series segments aligned to the 13:17:17–13:34:22 window.</t>
  </si>
  <si>
    <t>Unified Timeline</t>
  </si>
  <si>
    <t>Combined view joined through Request ID, Appointment ID, Work Order ID, Store, Bay and Correlation Session ID.</t>
  </si>
  <si>
    <t>Scenario 1</t>
  </si>
  <si>
    <t>Billing delayed after physical completion; preceding digital interactions are on time.</t>
  </si>
  <si>
    <t>Scenario 2</t>
  </si>
  <si>
    <t>Work-order creation delayed; video shows prolonged low activity while digital release is pending.</t>
  </si>
  <si>
    <t>Scenario 3</t>
  </si>
  <si>
    <t>Request-to-appointment conversion delayed because tire availability cannot be confirmed.</t>
  </si>
  <si>
    <t>Important limitation</t>
  </si>
  <si>
    <t>Synthetic data. Confirm exact Soroco field names, API payload and Snowflake table contract before implementation.</t>
  </si>
  <si>
    <t>Privacy design</t>
  </si>
  <si>
    <t>Anonymised tokens only; no raw keystroke content, screenshots or personal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</si>
</sst>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B2438"/>
      <name val="Calibri"/>
    </font>
    <font>
      <b/>
      <sz val="9"/>
      <color rgb="FFFFFFFF"/>
      <name val="Calibri"/>
    </font>
    <font>
      <b/>
      <sz val="11"/>
      <color rgb="FFC4444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78C4"/>
      </patternFill>
    </fill>
    <fill>
      <patternFill patternType="solid">
        <fgColor rgb="FFEEF3F8"/>
      </patternFill>
    </fill>
    <fill>
      <patternFill patternType="solid">
        <fgColor rgb="FFFCE8E6"/>
      </patternFill>
    </fill>
    <fill>
      <patternFill patternType="solid">
        <fgColor rgb="FF7B61C9"/>
      </patternFill>
    </fill>
    <fill>
      <patternFill patternType="solid">
        <fgColor rgb="FF00899B"/>
      </patternFill>
    </fill>
    <fill>
      <patternFill patternType="solid">
        <fgColor rgb="FF0000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7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0" fillId="0" borderId="0" xfId="0"/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Digital Wait Minutes by Transaction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'Transaction Summary'!$I$4</c:f>
              <c:strCache>
                <c:ptCount val="1"/>
                <c:pt idx="0">
                  <c:v>Digital Wait (min)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'Transaction Summary'!$A$5:$A$7</c:f>
              <c:strCache>
                <c:ptCount val="3"/>
                <c:pt idx="0">
                  <c:v>T01 - Billing delayed; prior digital interactions on time</c:v>
                </c:pt>
                <c:pt idx="1">
                  <c:v>T02 - Work-order creation delayed</c:v>
                </c:pt>
                <c:pt idx="2">
                  <c:v>T03 - Request-to-appointment delayed by tire availability</c:v>
                </c:pt>
              </c:strCache>
            </c:strRef>
          </c:cat>
          <c:val>
            <c:numRef>
              <c:f>'Transaction Summary'!$I$5:$I$7</c:f>
              <c:numCache>
                <c:formatCode>0.00</c:formatCode>
                <c:ptCount val="3"/>
                <c:pt idx="0">
                  <c:v>15.45</c:v>
                </c:pt>
                <c:pt idx="1">
                  <c:v>12.083333333333334</c:v>
                </c:pt>
                <c:pt idx="2">
                  <c:v>19.333333333333332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C-4095-A164-8F1C490F8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ummaryTable" displayName="TransactionSummaryTable" ref="A4:L7">
  <autoFilter ref="A4:L7" xr:uid="{00000000-0009-0000-0100-000001000000}"/>
  <tableColumns count="12">
    <tableColumn id="1" xr3:uid="{00000000-0010-0000-0000-000001000000}" name="Transaction"/>
    <tableColumn id="2" xr3:uid="{00000000-0010-0000-0000-000002000000}" name="Primary Delay Point"/>
    <tableColumn id="3" xr3:uid="{00000000-0010-0000-0000-000003000000}" name="Request ID"/>
    <tableColumn id="4" xr3:uid="{00000000-0010-0000-0000-000004000000}" name="Appointment ID"/>
    <tableColumn id="5" xr3:uid="{00000000-0010-0000-0000-000005000000}" name="Work Order ID"/>
    <tableColumn id="6" xr3:uid="{00000000-0010-0000-0000-000006000000}" name="Invoice Number"/>
    <tableColumn id="7" xr3:uid="{00000000-0010-0000-0000-000007000000}" name="Digital Event Count"/>
    <tableColumn id="8" xr3:uid="{00000000-0010-0000-0000-000008000000}" name="Digital Duration (min)"/>
    <tableColumn id="9" xr3:uid="{00000000-0010-0000-0000-000009000000}" name="Digital Wait (min)"/>
    <tableColumn id="10" xr3:uid="{00000000-0010-0000-0000-00000A000000}" name="Video Window (min)"/>
    <tableColumn id="11" xr3:uid="{00000000-0010-0000-0000-00000B000000}" name="Video Low Activity (min)"/>
    <tableColumn id="12" xr3:uid="{00000000-0010-0000-0000-00000C000000}" name="Key Multimodal Find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MiningEventsTable" displayName="TaskMiningEventsTable" ref="A4:BG65">
  <autoFilter ref="A4:BG65" xr:uid="{00000000-0009-0000-0100-000002000000}">
    <filterColumn colId="1">
      <filters>
        <filter val="T01 - Billing delayed; prior digital interactions on time"/>
      </filters>
    </filterColumn>
  </autoFilter>
  <tableColumns count="59">
    <tableColumn id="1" xr3:uid="{00000000-0010-0000-0100-000001000000}" name="Record Type"/>
    <tableColumn id="2" xr3:uid="{00000000-0010-0000-0100-000002000000}" name="Transaction Scenario"/>
    <tableColumn id="3" xr3:uid="{00000000-0010-0000-0100-000003000000}" name="Process UUID"/>
    <tableColumn id="4" xr3:uid="{00000000-0010-0000-0100-000004000000}" name="Process Name"/>
    <tableColumn id="5" xr3:uid="{00000000-0010-0000-0100-000005000000}" name="Process Instance UUID"/>
    <tableColumn id="6" xr3:uid="{00000000-0010-0000-0100-000006000000}" name="Activity UUID"/>
    <tableColumn id="7" xr3:uid="{00000000-0010-0000-0100-000007000000}" name="Activity Name"/>
    <tableColumn id="8" xr3:uid="{00000000-0010-0000-0100-000008000000}" name="Step UUID"/>
    <tableColumn id="9" xr3:uid="{00000000-0010-0000-0100-000009000000}" name="Step Sequence"/>
    <tableColumn id="10" xr3:uid="{00000000-0010-0000-0100-00000A000000}" name="Step Name"/>
    <tableColumn id="11" xr3:uid="{00000000-0010-0000-0100-00000B000000}" name="Event UUID"/>
    <tableColumn id="12" xr3:uid="{00000000-0010-0000-0100-00000C000000}" name="Event Sequence"/>
    <tableColumn id="13" xr3:uid="{00000000-0010-0000-0100-00000D000000}" name="Event Date"/>
    <tableColumn id="14" xr3:uid="{00000000-0010-0000-0100-00000E000000}" name="Event Start Timestamp"/>
    <tableColumn id="15" xr3:uid="{00000000-0010-0000-0100-00000F000000}" name="Event End Timestamp"/>
    <tableColumn id="16" xr3:uid="{00000000-0010-0000-0100-000010000000}" name="Duration Seconds"/>
    <tableColumn id="17" xr3:uid="{00000000-0010-0000-0100-000011000000}" name="User Session UUID"/>
    <tableColumn id="18" xr3:uid="{00000000-0010-0000-0100-000012000000}" name="Team / Role"/>
    <tableColumn id="19" xr3:uid="{00000000-0010-0000-0100-000013000000}" name="Anonymised User ID"/>
    <tableColumn id="20" xr3:uid="{00000000-0010-0000-0100-000014000000}" name="Workstation ID"/>
    <tableColumn id="21" xr3:uid="{00000000-0010-0000-0100-000015000000}" name="Application Name"/>
    <tableColumn id="22" xr3:uid="{00000000-0010-0000-0100-000016000000}" name="Application Module"/>
    <tableColumn id="23" xr3:uid="{00000000-0010-0000-0100-000017000000}" name="Window Title"/>
    <tableColumn id="24" xr3:uid="{00000000-0010-0000-0100-000018000000}" name="Screen / Page Name"/>
    <tableColumn id="25" xr3:uid="{00000000-0010-0000-0100-000019000000}" name="UI Element Type"/>
    <tableColumn id="26" xr3:uid="{00000000-0010-0000-0100-00001A000000}" name="UI Element Label"/>
    <tableColumn id="27" xr3:uid="{00000000-0010-0000-0100-00001B000000}" name="Action Type"/>
    <tableColumn id="28" xr3:uid="{00000000-0010-0000-0100-00001C000000}" name="Action Subtype"/>
    <tableColumn id="29" xr3:uid="{00000000-0010-0000-0100-00001D000000}" name="Input Method"/>
    <tableColumn id="30" xr3:uid="{00000000-0010-0000-0100-00001E000000}" name="Keystroke Count"/>
    <tableColumn id="31" xr3:uid="{00000000-0010-0000-0100-00001F000000}" name="Click Count"/>
    <tableColumn id="32" xr3:uid="{00000000-0010-0000-0100-000020000000}" name="Scroll Count"/>
    <tableColumn id="33" xr3:uid="{00000000-0010-0000-0100-000021000000}" name="Copy/Paste Flag"/>
    <tableColumn id="34" xr3:uid="{00000000-0010-0000-0100-000022000000}" name="Field Changed Flag"/>
    <tableColumn id="35" xr3:uid="{00000000-0010-0000-0100-000023000000}" name="Previous Screen"/>
    <tableColumn id="36" xr3:uid="{00000000-0010-0000-0100-000024000000}" name="Next Screen"/>
    <tableColumn id="37" xr3:uid="{00000000-0010-0000-0100-000025000000}" name="System Response Milliseconds"/>
    <tableColumn id="38" xr3:uid="{00000000-0010-0000-0100-000026000000}" name="Active Seconds"/>
    <tableColumn id="39" xr3:uid="{00000000-0010-0000-0100-000027000000}" name="Idle / Wait Seconds"/>
    <tableColumn id="40" xr3:uid="{00000000-0010-0000-0100-000028000000}" name="Wait Reason"/>
    <tableColumn id="41" xr3:uid="{00000000-0010-0000-0100-000029000000}" name="Outcome Status"/>
    <tableColumn id="42" xr3:uid="{00000000-0010-0000-0100-00002A000000}" name="Exception Code"/>
    <tableColumn id="43" xr3:uid="{00000000-0010-0000-0100-00002B000000}" name="Process Variant"/>
    <tableColumn id="44" xr3:uid="{00000000-0010-0000-0100-00002C000000}" name="Request ID"/>
    <tableColumn id="45" xr3:uid="{00000000-0010-0000-0100-00002D000000}" name="Appointment ID"/>
    <tableColumn id="46" xr3:uid="{00000000-0010-0000-0100-00002E000000}" name="Work Order ID"/>
    <tableColumn id="47" xr3:uid="{00000000-0010-0000-0100-00002F000000}" name="PO Number"/>
    <tableColumn id="48" xr3:uid="{00000000-0010-0000-0100-000030000000}" name="Invoice Number"/>
    <tableColumn id="49" xr3:uid="{00000000-0010-0000-0100-000031000000}" name="Member Token"/>
    <tableColumn id="50" xr3:uid="{00000000-0010-0000-0100-000032000000}" name="Vehicle Token"/>
    <tableColumn id="51" xr3:uid="{00000000-0010-0000-0100-000033000000}" name="Store ID"/>
    <tableColumn id="52" xr3:uid="{00000000-0010-0000-0100-000034000000}" name="Bay ID"/>
    <tableColumn id="53" xr3:uid="{00000000-0010-0000-0100-000035000000}" name="Tire SKU"/>
    <tableColumn id="54" xr3:uid="{00000000-0010-0000-0100-000036000000}" name="Correlation Session ID"/>
    <tableColumn id="55" xr3:uid="{00000000-0010-0000-0100-000037000000}" name="Source Platform"/>
    <tableColumn id="56" xr3:uid="{00000000-0010-0000-0100-000038000000}" name="Source Extract Date"/>
    <tableColumn id="57" xr3:uid="{00000000-0010-0000-0100-000039000000}" name="Ingestion Timestamp"/>
    <tableColumn id="58" xr3:uid="{00000000-0010-0000-0100-00003A000000}" name="Correlation Confidence"/>
    <tableColumn id="59" xr3:uid="{00000000-0010-0000-0100-00003B000000}" name="Synthetic Data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deoEventsTable" displayName="VideoEventsTable" ref="A4:X17">
  <autoFilter ref="A4:X17" xr:uid="{00000000-0009-0000-0100-000003000000}"/>
  <tableColumns count="24">
    <tableColumn id="1" xr3:uid="{00000000-0010-0000-0200-000001000000}" name="Video Event UUID"/>
    <tableColumn id="2" xr3:uid="{00000000-0010-0000-0200-000002000000}" name="Transaction Scenario"/>
    <tableColumn id="3" xr3:uid="{00000000-0010-0000-0200-000003000000}" name="Process Instance UUID"/>
    <tableColumn id="4" xr3:uid="{00000000-0010-0000-0200-000004000000}" name="Request ID"/>
    <tableColumn id="5" xr3:uid="{00000000-0010-0000-0200-000005000000}" name="Appointment ID"/>
    <tableColumn id="6" xr3:uid="{00000000-0010-0000-0200-000006000000}" name="Work Order ID"/>
    <tableColumn id="7" xr3:uid="{00000000-0010-0000-0200-000007000000}" name="Store ID"/>
    <tableColumn id="8" xr3:uid="{00000000-0010-0000-0200-000008000000}" name="Bay ID"/>
    <tableColumn id="9" xr3:uid="{00000000-0010-0000-0200-000009000000}" name="Camera ID"/>
    <tableColumn id="10" xr3:uid="{00000000-0010-0000-0200-00000A000000}" name="Zone"/>
    <tableColumn id="11" xr3:uid="{00000000-0010-0000-0200-00000B000000}" name="Segment Start Timestamp"/>
    <tableColumn id="12" xr3:uid="{00000000-0010-0000-0200-00000C000000}" name="Segment End Timestamp"/>
    <tableColumn id="13" xr3:uid="{00000000-0010-0000-0200-00000D000000}" name="Duration Seconds"/>
    <tableColumn id="14" xr3:uid="{00000000-0010-0000-0200-00000E000000}" name="Observed Activity"/>
    <tableColumn id="15" xr3:uid="{00000000-0010-0000-0200-00000F000000}" name="Activity Classification"/>
    <tableColumn id="16" xr3:uid="{00000000-0010-0000-0200-000010000000}" name="Vehicle Present"/>
    <tableColumn id="17" xr3:uid="{00000000-0010-0000-0200-000011000000}" name="Technician Present"/>
    <tableColumn id="18" xr3:uid="{00000000-0010-0000-0200-000012000000}" name="Bay Occupied"/>
    <tableColumn id="19" xr3:uid="{00000000-0010-0000-0200-000013000000}" name="Lift State"/>
    <tableColumn id="20" xr3:uid="{00000000-0010-0000-0200-000014000000}" name="Low Activity Flag"/>
    <tableColumn id="21" xr3:uid="{00000000-0010-0000-0200-000015000000}" name="Pause Count"/>
    <tableColumn id="22" xr3:uid="{00000000-0010-0000-0200-000016000000}" name="CV Confidence"/>
    <tableColumn id="23" xr3:uid="{00000000-0010-0000-0200-000017000000}" name="Correlation Session ID"/>
    <tableColumn id="24" xr3:uid="{00000000-0010-0000-0200-000018000000}" name="Synthetic Data 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nifiedTimelineTable" displayName="UnifiedTimelineTable" ref="A4:S78">
  <autoFilter ref="A4:S78" xr:uid="{00000000-0009-0000-0100-000004000000}">
    <filterColumn colId="1">
      <filters>
        <filter val="T01 - Billing delayed; prior digital interactions on time"/>
      </filters>
    </filterColumn>
  </autoFilter>
  <tableColumns count="19">
    <tableColumn id="1" xr3:uid="{00000000-0010-0000-0300-000001000000}" name="Sequence"/>
    <tableColumn id="2" xr3:uid="{00000000-0010-0000-0300-000002000000}" name="Transaction Scenario"/>
    <tableColumn id="3" xr3:uid="{00000000-0010-0000-0300-000003000000}" name="Event Start"/>
    <tableColumn id="4" xr3:uid="{00000000-0010-0000-0300-000004000000}" name="Event End"/>
    <tableColumn id="5" xr3:uid="{00000000-0010-0000-0300-000005000000}" name="Modality"/>
    <tableColumn id="6" xr3:uid="{00000000-0010-0000-0300-000006000000}" name="Lifecycle Stage"/>
    <tableColumn id="7" xr3:uid="{00000000-0010-0000-0300-000007000000}" name="Unified Event"/>
    <tableColumn id="8" xr3:uid="{00000000-0010-0000-0300-000008000000}" name="Observation"/>
    <tableColumn id="9" xr3:uid="{00000000-0010-0000-0300-000009000000}" name="Request ID"/>
    <tableColumn id="10" xr3:uid="{00000000-0010-0000-0300-00000A000000}" name="Appointment ID"/>
    <tableColumn id="11" xr3:uid="{00000000-0010-0000-0300-00000B000000}" name="Work Order ID"/>
    <tableColumn id="12" xr3:uid="{00000000-0010-0000-0300-00000C000000}" name="PO Number"/>
    <tableColumn id="13" xr3:uid="{00000000-0010-0000-0300-00000D000000}" name="Invoice Number"/>
    <tableColumn id="14" xr3:uid="{00000000-0010-0000-0300-00000E000000}" name="Store ID"/>
    <tableColumn id="15" xr3:uid="{00000000-0010-0000-0300-00000F000000}" name="Bay ID"/>
    <tableColumn id="16" xr3:uid="{00000000-0010-0000-0300-000010000000}" name="Correlation Session ID"/>
    <tableColumn id="17" xr3:uid="{00000000-0010-0000-0300-000011000000}" name="Duration Seconds"/>
    <tableColumn id="18" xr3:uid="{00000000-0010-0000-0300-000012000000}" name="Exception / Insight"/>
    <tableColumn id="19" xr3:uid="{00000000-0010-0000-0300-000013000000}" name="Synthetic 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Table" displayName="DataDictionaryTable" ref="A4:D63">
  <autoFilter ref="A4:D63" xr:uid="{00000000-0009-0000-0100-000005000000}"/>
  <tableColumns count="4">
    <tableColumn id="1" xr3:uid="{00000000-0010-0000-0400-000001000000}" name="Field Name"/>
    <tableColumn id="2" xr3:uid="{00000000-0010-0000-0400-000002000000}" name="Definition"/>
    <tableColumn id="3" xr3:uid="{00000000-0010-0000-0400-000003000000}" name="Source / Layer"/>
    <tableColumn id="4" xr3:uid="{00000000-0010-0000-0400-000004000000}" name="Implementat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pane xSplit="5" ySplit="4" topLeftCell="F5" activePane="bottomRight" state="frozen"/>
      <selection pane="topRight"/>
      <selection pane="bottomLeft"/>
      <selection pane="bottomRight" activeCell="A7" sqref="A7"/>
    </sheetView>
  </sheetViews>
  <sheetFormatPr defaultRowHeight="14.5" x14ac:dyDescent="0.35"/>
  <cols>
    <col min="1" max="1" width="40" customWidth="1"/>
    <col min="2" max="2" width="30" customWidth="1"/>
    <col min="3" max="3" width="18" customWidth="1"/>
    <col min="4" max="5" width="20" customWidth="1"/>
    <col min="6" max="6" width="18" customWidth="1"/>
    <col min="7" max="7" width="15" customWidth="1"/>
    <col min="8" max="8" width="17" customWidth="1"/>
    <col min="9" max="9" width="15" customWidth="1"/>
    <col min="10" max="10" width="17" customWidth="1"/>
    <col min="11" max="11" width="20" customWidth="1"/>
    <col min="12" max="12" width="58" customWidth="1"/>
  </cols>
  <sheetData>
    <row r="1" spans="1:12" ht="26.15" customHeight="1" x14ac:dyDescent="0.35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6" customHeight="1" x14ac:dyDescent="0.3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3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9" x14ac:dyDescent="0.3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>
        <f>COUNTIF('Task Mining Events'!$B:$B,A5)</f>
        <v>20</v>
      </c>
      <c r="H5" s="3">
        <f>SUMIF('Task Mining Events'!$B:$B,A5,'Task Mining Events'!$P:$P)/60</f>
        <v>21.15</v>
      </c>
      <c r="I5" s="3">
        <f>SUMIF('Task Mining Events'!$B:$B,A5,'Task Mining Events'!$AM:$AM)/60</f>
        <v>15.45</v>
      </c>
      <c r="J5" s="3">
        <f>SUMIF('Video Analytics Events'!$B:$B,A5,'Video Analytics Events'!$M:$M)/60</f>
        <v>35</v>
      </c>
      <c r="K5" s="3">
        <f>SUMIFS('Video Analytics Events'!$M:$M,'Video Analytics Events'!$B:$B,A5,'Video Analytics Events'!$T:$T,"Y")/60</f>
        <v>17</v>
      </c>
      <c r="L5" s="2" t="s">
        <v>20</v>
      </c>
    </row>
    <row r="6" spans="1:12" ht="43.5" x14ac:dyDescent="0.3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>
        <f>COUNTIF('Task Mining Events'!$B:$B,A6)</f>
        <v>21</v>
      </c>
      <c r="H6" s="3">
        <f>SUMIF('Task Mining Events'!$B:$B,A6,'Task Mining Events'!$P:$P)/60</f>
        <v>18.666666666666668</v>
      </c>
      <c r="I6" s="3">
        <f>SUMIF('Task Mining Events'!$B:$B,A6,'Task Mining Events'!$AM:$AM)/60</f>
        <v>12.083333333333334</v>
      </c>
      <c r="J6" s="3">
        <f>SUMIF('Video Analytics Events'!$B:$B,A6,'Video Analytics Events'!$M:$M)/60</f>
        <v>17.083333333333332</v>
      </c>
      <c r="K6" s="3">
        <f>SUMIFS('Video Analytics Events'!$M:$M,'Video Analytics Events'!$B:$B,A6,'Video Analytics Events'!$T:$T,"Y")/60</f>
        <v>14.333333333333334</v>
      </c>
      <c r="L6" s="2" t="s">
        <v>27</v>
      </c>
    </row>
    <row r="7" spans="1:12" ht="29" x14ac:dyDescent="0.3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>
        <f>COUNTIF('Task Mining Events'!$B:$B,A7)</f>
        <v>20</v>
      </c>
      <c r="H7" s="3">
        <f>SUMIF('Task Mining Events'!$B:$B,A7,'Task Mining Events'!$P:$P)/60</f>
        <v>24.466666666666665</v>
      </c>
      <c r="I7" s="3">
        <f>SUMIF('Task Mining Events'!$B:$B,A7,'Task Mining Events'!$AM:$AM)/60</f>
        <v>19.333333333333332</v>
      </c>
      <c r="J7" s="3">
        <f>SUMIF('Video Analytics Events'!$B:$B,A7,'Video Analytics Events'!$M:$M)/60</f>
        <v>47</v>
      </c>
      <c r="K7" s="3">
        <f>SUMIFS('Video Analytics Events'!$M:$M,'Video Analytics Events'!$B:$B,A7,'Video Analytics Events'!$T:$T,"Y")/60</f>
        <v>0</v>
      </c>
      <c r="L7" s="2" t="s">
        <v>34</v>
      </c>
    </row>
  </sheetData>
  <mergeCells count="2">
    <mergeCell ref="A2:L2"/>
    <mergeCell ref="A1:L1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5"/>
  <sheetViews>
    <sheetView tabSelected="1" workbookViewId="0">
      <pane xSplit="5" ySplit="4" topLeftCell="F5" activePane="bottomRight" state="frozen"/>
      <selection pane="topRight"/>
      <selection pane="bottomLeft"/>
      <selection pane="bottomRight" sqref="A1:BG1"/>
    </sheetView>
  </sheetViews>
  <sheetFormatPr defaultRowHeight="14.5" x14ac:dyDescent="0.35"/>
  <cols>
    <col min="1" max="1" width="13" customWidth="1"/>
    <col min="2" max="2" width="34" customWidth="1"/>
    <col min="3" max="9" width="13" customWidth="1"/>
    <col min="10" max="10" width="34" customWidth="1"/>
    <col min="11" max="13" width="13" customWidth="1"/>
    <col min="14" max="14" width="17" customWidth="1"/>
    <col min="15" max="15" width="16.08984375" customWidth="1"/>
    <col min="16" max="22" width="13" customWidth="1"/>
    <col min="23" max="24" width="34" customWidth="1"/>
    <col min="25" max="39" width="13" customWidth="1"/>
    <col min="40" max="40" width="34" customWidth="1"/>
    <col min="41" max="54" width="13" customWidth="1"/>
    <col min="55" max="55" width="20.08984375" customWidth="1"/>
    <col min="56" max="56" width="16.90625" customWidth="1"/>
    <col min="57" max="57" width="21.81640625" customWidth="1"/>
    <col min="58" max="59" width="13" customWidth="1"/>
  </cols>
  <sheetData>
    <row r="1" spans="1:59" ht="26.15" customHeight="1" x14ac:dyDescent="0.35">
      <c r="A1" s="14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</row>
    <row r="2" spans="1:59" ht="36" customHeight="1" x14ac:dyDescent="0.35">
      <c r="A2" s="10" t="s">
        <v>36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4" spans="1:59" ht="36" customHeight="1" x14ac:dyDescent="0.35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53</v>
      </c>
      <c r="R4" s="4" t="s">
        <v>54</v>
      </c>
      <c r="S4" s="4" t="s">
        <v>55</v>
      </c>
      <c r="T4" s="4" t="s">
        <v>56</v>
      </c>
      <c r="U4" s="4" t="s">
        <v>57</v>
      </c>
      <c r="V4" s="4" t="s">
        <v>58</v>
      </c>
      <c r="W4" s="4" t="s">
        <v>59</v>
      </c>
      <c r="X4" s="4" t="s">
        <v>60</v>
      </c>
      <c r="Y4" s="4" t="s">
        <v>61</v>
      </c>
      <c r="Z4" s="4" t="s">
        <v>62</v>
      </c>
      <c r="AA4" s="4" t="s">
        <v>63</v>
      </c>
      <c r="AB4" s="4" t="s">
        <v>64</v>
      </c>
      <c r="AC4" s="4" t="s">
        <v>65</v>
      </c>
      <c r="AD4" s="4" t="s">
        <v>66</v>
      </c>
      <c r="AE4" s="4" t="s">
        <v>67</v>
      </c>
      <c r="AF4" s="4" t="s">
        <v>68</v>
      </c>
      <c r="AG4" s="4" t="s">
        <v>69</v>
      </c>
      <c r="AH4" s="4" t="s">
        <v>70</v>
      </c>
      <c r="AI4" s="4" t="s">
        <v>71</v>
      </c>
      <c r="AJ4" s="4" t="s">
        <v>72</v>
      </c>
      <c r="AK4" s="4" t="s">
        <v>73</v>
      </c>
      <c r="AL4" s="4" t="s">
        <v>74</v>
      </c>
      <c r="AM4" s="4" t="s">
        <v>75</v>
      </c>
      <c r="AN4" s="4" t="s">
        <v>76</v>
      </c>
      <c r="AO4" s="4" t="s">
        <v>77</v>
      </c>
      <c r="AP4" s="4" t="s">
        <v>78</v>
      </c>
      <c r="AQ4" s="4" t="s">
        <v>79</v>
      </c>
      <c r="AR4" s="4" t="s">
        <v>4</v>
      </c>
      <c r="AS4" s="4" t="s">
        <v>5</v>
      </c>
      <c r="AT4" s="4" t="s">
        <v>6</v>
      </c>
      <c r="AU4" s="4" t="s">
        <v>80</v>
      </c>
      <c r="AV4" s="4" t="s">
        <v>7</v>
      </c>
      <c r="AW4" s="4" t="s">
        <v>81</v>
      </c>
      <c r="AX4" s="4" t="s">
        <v>82</v>
      </c>
      <c r="AY4" s="4" t="s">
        <v>83</v>
      </c>
      <c r="AZ4" s="4" t="s">
        <v>84</v>
      </c>
      <c r="BA4" s="4" t="s">
        <v>85</v>
      </c>
      <c r="BB4" s="4" t="s">
        <v>86</v>
      </c>
      <c r="BC4" s="4" t="s">
        <v>87</v>
      </c>
      <c r="BD4" s="4" t="s">
        <v>88</v>
      </c>
      <c r="BE4" s="4" t="s">
        <v>89</v>
      </c>
      <c r="BF4" s="4" t="s">
        <v>90</v>
      </c>
      <c r="BG4" s="4" t="s">
        <v>91</v>
      </c>
    </row>
    <row r="5" spans="1:59" ht="43.5" x14ac:dyDescent="0.35">
      <c r="A5" s="2" t="s">
        <v>92</v>
      </c>
      <c r="B5" s="2" t="s">
        <v>14</v>
      </c>
      <c r="C5" s="2" t="s">
        <v>93</v>
      </c>
      <c r="D5" s="2" t="s">
        <v>94</v>
      </c>
      <c r="E5" s="2" t="s">
        <v>95</v>
      </c>
      <c r="F5" s="2" t="s">
        <v>96</v>
      </c>
      <c r="G5" s="2" t="s">
        <v>97</v>
      </c>
      <c r="H5" s="2" t="s">
        <v>98</v>
      </c>
      <c r="I5" s="2">
        <v>1</v>
      </c>
      <c r="J5" s="2" t="s">
        <v>99</v>
      </c>
      <c r="K5" s="2" t="s">
        <v>100</v>
      </c>
      <c r="L5" s="2">
        <v>1</v>
      </c>
      <c r="M5" s="5">
        <v>46280</v>
      </c>
      <c r="N5" s="6">
        <v>46280.375</v>
      </c>
      <c r="O5" s="6">
        <v>46280.375092592592</v>
      </c>
      <c r="P5" s="2">
        <v>8</v>
      </c>
      <c r="Q5" s="2" t="s">
        <v>101</v>
      </c>
      <c r="R5" s="2" t="s">
        <v>102</v>
      </c>
      <c r="S5" s="2" t="s">
        <v>103</v>
      </c>
      <c r="T5" s="2" t="s">
        <v>104</v>
      </c>
      <c r="U5" s="2" t="s">
        <v>105</v>
      </c>
      <c r="V5" s="2" t="s">
        <v>97</v>
      </c>
      <c r="W5" s="2" t="s">
        <v>106</v>
      </c>
      <c r="X5" s="2" t="s">
        <v>107</v>
      </c>
      <c r="Y5" s="2" t="s">
        <v>108</v>
      </c>
      <c r="Z5" s="2" t="s">
        <v>4</v>
      </c>
      <c r="AA5" s="2" t="s">
        <v>109</v>
      </c>
      <c r="AB5" s="2" t="s">
        <v>110</v>
      </c>
      <c r="AC5" s="2" t="s">
        <v>111</v>
      </c>
      <c r="AD5" s="2">
        <v>12</v>
      </c>
      <c r="AE5" s="2">
        <v>0</v>
      </c>
      <c r="AF5" s="2">
        <v>0</v>
      </c>
      <c r="AG5" s="2" t="s">
        <v>112</v>
      </c>
      <c r="AH5" s="2" t="s">
        <v>113</v>
      </c>
      <c r="AI5" s="2"/>
      <c r="AJ5" s="2"/>
      <c r="AK5" s="2">
        <v>350</v>
      </c>
      <c r="AL5" s="2">
        <v>8</v>
      </c>
      <c r="AM5" s="2">
        <v>0</v>
      </c>
      <c r="AN5" s="2"/>
      <c r="AO5" s="2" t="s">
        <v>114</v>
      </c>
      <c r="AP5" s="2"/>
      <c r="AQ5" s="2" t="s">
        <v>115</v>
      </c>
      <c r="AR5" s="2" t="s">
        <v>16</v>
      </c>
      <c r="AS5" s="2" t="s">
        <v>17</v>
      </c>
      <c r="AT5" s="2" t="s">
        <v>18</v>
      </c>
      <c r="AU5" s="2" t="s">
        <v>116</v>
      </c>
      <c r="AV5" s="2" t="s">
        <v>19</v>
      </c>
      <c r="AW5" s="2" t="s">
        <v>117</v>
      </c>
      <c r="AX5" s="2" t="s">
        <v>118</v>
      </c>
      <c r="AY5" s="2" t="s">
        <v>119</v>
      </c>
      <c r="AZ5" s="2" t="s">
        <v>120</v>
      </c>
      <c r="BA5" s="2" t="s">
        <v>121</v>
      </c>
      <c r="BB5" s="2" t="s">
        <v>122</v>
      </c>
      <c r="BC5" s="2" t="s">
        <v>123</v>
      </c>
      <c r="BD5" s="5">
        <v>46280</v>
      </c>
      <c r="BE5" s="6">
        <v>46280.377870370372</v>
      </c>
      <c r="BF5" s="2">
        <v>0.99</v>
      </c>
      <c r="BG5" s="2" t="s">
        <v>113</v>
      </c>
    </row>
    <row r="6" spans="1:59" ht="43.5" x14ac:dyDescent="0.35">
      <c r="A6" s="2" t="s">
        <v>92</v>
      </c>
      <c r="B6" s="2" t="s">
        <v>14</v>
      </c>
      <c r="C6" s="2" t="s">
        <v>93</v>
      </c>
      <c r="D6" s="2" t="s">
        <v>94</v>
      </c>
      <c r="E6" s="2" t="s">
        <v>95</v>
      </c>
      <c r="F6" s="2" t="s">
        <v>124</v>
      </c>
      <c r="G6" s="2" t="s">
        <v>97</v>
      </c>
      <c r="H6" s="2" t="s">
        <v>125</v>
      </c>
      <c r="I6" s="2">
        <v>2</v>
      </c>
      <c r="J6" s="2" t="s">
        <v>126</v>
      </c>
      <c r="K6" s="2" t="s">
        <v>127</v>
      </c>
      <c r="L6" s="2">
        <v>2</v>
      </c>
      <c r="M6" s="5">
        <v>46280</v>
      </c>
      <c r="N6" s="6">
        <v>46280.375092592592</v>
      </c>
      <c r="O6" s="6">
        <v>46280.375254629631</v>
      </c>
      <c r="P6" s="2">
        <v>14</v>
      </c>
      <c r="Q6" s="2" t="s">
        <v>101</v>
      </c>
      <c r="R6" s="2" t="s">
        <v>102</v>
      </c>
      <c r="S6" s="2" t="s">
        <v>103</v>
      </c>
      <c r="T6" s="2" t="s">
        <v>104</v>
      </c>
      <c r="U6" s="2" t="s">
        <v>105</v>
      </c>
      <c r="V6" s="2" t="s">
        <v>97</v>
      </c>
      <c r="W6" s="2" t="s">
        <v>128</v>
      </c>
      <c r="X6" s="2" t="s">
        <v>129</v>
      </c>
      <c r="Y6" s="2" t="s">
        <v>130</v>
      </c>
      <c r="Z6" s="2" t="s">
        <v>131</v>
      </c>
      <c r="AA6" s="2" t="s">
        <v>132</v>
      </c>
      <c r="AB6" s="2" t="s">
        <v>110</v>
      </c>
      <c r="AC6" s="2" t="s">
        <v>133</v>
      </c>
      <c r="AD6" s="2">
        <v>0</v>
      </c>
      <c r="AE6" s="2">
        <v>0</v>
      </c>
      <c r="AF6" s="2">
        <v>2</v>
      </c>
      <c r="AG6" s="2" t="s">
        <v>112</v>
      </c>
      <c r="AH6" s="2" t="s">
        <v>112</v>
      </c>
      <c r="AI6" s="2"/>
      <c r="AJ6" s="2"/>
      <c r="AK6" s="2">
        <v>350</v>
      </c>
      <c r="AL6" s="2">
        <v>14</v>
      </c>
      <c r="AM6" s="2">
        <v>0</v>
      </c>
      <c r="AN6" s="2"/>
      <c r="AO6" s="2" t="s">
        <v>114</v>
      </c>
      <c r="AP6" s="2"/>
      <c r="AQ6" s="2" t="s">
        <v>115</v>
      </c>
      <c r="AR6" s="2" t="s">
        <v>16</v>
      </c>
      <c r="AS6" s="2" t="s">
        <v>17</v>
      </c>
      <c r="AT6" s="2" t="s">
        <v>18</v>
      </c>
      <c r="AU6" s="2" t="s">
        <v>116</v>
      </c>
      <c r="AV6" s="2" t="s">
        <v>19</v>
      </c>
      <c r="AW6" s="2" t="s">
        <v>117</v>
      </c>
      <c r="AX6" s="2" t="s">
        <v>118</v>
      </c>
      <c r="AY6" s="2" t="s">
        <v>119</v>
      </c>
      <c r="AZ6" s="2" t="s">
        <v>120</v>
      </c>
      <c r="BA6" s="2" t="s">
        <v>121</v>
      </c>
      <c r="BB6" s="2" t="s">
        <v>122</v>
      </c>
      <c r="BC6" s="2" t="s">
        <v>123</v>
      </c>
      <c r="BD6" s="5">
        <v>46280</v>
      </c>
      <c r="BE6" s="6">
        <v>46280.378032407411</v>
      </c>
      <c r="BF6" s="2">
        <v>0.99</v>
      </c>
      <c r="BG6" s="2" t="s">
        <v>113</v>
      </c>
    </row>
    <row r="7" spans="1:59" ht="43.5" x14ac:dyDescent="0.35">
      <c r="A7" s="2" t="s">
        <v>92</v>
      </c>
      <c r="B7" s="2" t="s">
        <v>14</v>
      </c>
      <c r="C7" s="2" t="s">
        <v>93</v>
      </c>
      <c r="D7" s="2" t="s">
        <v>94</v>
      </c>
      <c r="E7" s="2" t="s">
        <v>95</v>
      </c>
      <c r="F7" s="2" t="s">
        <v>134</v>
      </c>
      <c r="G7" s="2" t="s">
        <v>135</v>
      </c>
      <c r="H7" s="2" t="s">
        <v>136</v>
      </c>
      <c r="I7" s="2">
        <v>3</v>
      </c>
      <c r="J7" s="2" t="s">
        <v>137</v>
      </c>
      <c r="K7" s="2" t="s">
        <v>138</v>
      </c>
      <c r="L7" s="2">
        <v>3</v>
      </c>
      <c r="M7" s="5">
        <v>46280</v>
      </c>
      <c r="N7" s="6">
        <v>46280.375254629631</v>
      </c>
      <c r="O7" s="6">
        <v>46280.3753125</v>
      </c>
      <c r="P7" s="2">
        <v>5</v>
      </c>
      <c r="Q7" s="2" t="s">
        <v>101</v>
      </c>
      <c r="R7" s="2" t="s">
        <v>102</v>
      </c>
      <c r="S7" s="2" t="s">
        <v>103</v>
      </c>
      <c r="T7" s="2" t="s">
        <v>104</v>
      </c>
      <c r="U7" s="2" t="s">
        <v>139</v>
      </c>
      <c r="V7" s="2" t="s">
        <v>135</v>
      </c>
      <c r="W7" s="2" t="s">
        <v>140</v>
      </c>
      <c r="X7" s="2" t="s">
        <v>141</v>
      </c>
      <c r="Y7" s="2" t="s">
        <v>142</v>
      </c>
      <c r="Z7" s="2" t="s">
        <v>143</v>
      </c>
      <c r="AA7" s="2" t="s">
        <v>144</v>
      </c>
      <c r="AB7" s="2" t="s">
        <v>110</v>
      </c>
      <c r="AC7" s="2" t="s">
        <v>145</v>
      </c>
      <c r="AD7" s="2">
        <v>0</v>
      </c>
      <c r="AE7" s="2">
        <v>1</v>
      </c>
      <c r="AF7" s="2">
        <v>0</v>
      </c>
      <c r="AG7" s="2" t="s">
        <v>112</v>
      </c>
      <c r="AH7" s="2" t="s">
        <v>112</v>
      </c>
      <c r="AI7" s="2"/>
      <c r="AJ7" s="2"/>
      <c r="AK7" s="2">
        <v>350</v>
      </c>
      <c r="AL7" s="2">
        <v>5</v>
      </c>
      <c r="AM7" s="2">
        <v>0</v>
      </c>
      <c r="AN7" s="2"/>
      <c r="AO7" s="2" t="s">
        <v>114</v>
      </c>
      <c r="AP7" s="2"/>
      <c r="AQ7" s="2" t="s">
        <v>115</v>
      </c>
      <c r="AR7" s="2" t="s">
        <v>16</v>
      </c>
      <c r="AS7" s="2" t="s">
        <v>17</v>
      </c>
      <c r="AT7" s="2" t="s">
        <v>18</v>
      </c>
      <c r="AU7" s="2" t="s">
        <v>116</v>
      </c>
      <c r="AV7" s="2" t="s">
        <v>19</v>
      </c>
      <c r="AW7" s="2" t="s">
        <v>117</v>
      </c>
      <c r="AX7" s="2" t="s">
        <v>118</v>
      </c>
      <c r="AY7" s="2" t="s">
        <v>119</v>
      </c>
      <c r="AZ7" s="2" t="s">
        <v>120</v>
      </c>
      <c r="BA7" s="2" t="s">
        <v>121</v>
      </c>
      <c r="BB7" s="2" t="s">
        <v>122</v>
      </c>
      <c r="BC7" s="2" t="s">
        <v>123</v>
      </c>
      <c r="BD7" s="5">
        <v>46280</v>
      </c>
      <c r="BE7" s="6">
        <v>46280.37809027778</v>
      </c>
      <c r="BF7" s="2">
        <v>0.99</v>
      </c>
      <c r="BG7" s="2" t="s">
        <v>113</v>
      </c>
    </row>
    <row r="8" spans="1:59" ht="43.5" x14ac:dyDescent="0.35">
      <c r="A8" s="2" t="s">
        <v>92</v>
      </c>
      <c r="B8" s="2" t="s">
        <v>14</v>
      </c>
      <c r="C8" s="2" t="s">
        <v>93</v>
      </c>
      <c r="D8" s="2" t="s">
        <v>94</v>
      </c>
      <c r="E8" s="2" t="s">
        <v>95</v>
      </c>
      <c r="F8" s="2" t="s">
        <v>146</v>
      </c>
      <c r="G8" s="2" t="s">
        <v>135</v>
      </c>
      <c r="H8" s="2" t="s">
        <v>147</v>
      </c>
      <c r="I8" s="2">
        <v>4</v>
      </c>
      <c r="J8" s="2" t="s">
        <v>148</v>
      </c>
      <c r="K8" s="2" t="s">
        <v>149</v>
      </c>
      <c r="L8" s="2">
        <v>4</v>
      </c>
      <c r="M8" s="5">
        <v>46280</v>
      </c>
      <c r="N8" s="6">
        <v>46280.3753125</v>
      </c>
      <c r="O8" s="6">
        <v>46280.375451388893</v>
      </c>
      <c r="P8" s="2">
        <v>12</v>
      </c>
      <c r="Q8" s="2" t="s">
        <v>101</v>
      </c>
      <c r="R8" s="2" t="s">
        <v>102</v>
      </c>
      <c r="S8" s="2" t="s">
        <v>103</v>
      </c>
      <c r="T8" s="2" t="s">
        <v>104</v>
      </c>
      <c r="U8" s="2" t="s">
        <v>139</v>
      </c>
      <c r="V8" s="2" t="s">
        <v>135</v>
      </c>
      <c r="W8" s="2" t="s">
        <v>140</v>
      </c>
      <c r="X8" s="2" t="s">
        <v>141</v>
      </c>
      <c r="Y8" s="2" t="s">
        <v>108</v>
      </c>
      <c r="Z8" s="2" t="s">
        <v>150</v>
      </c>
      <c r="AA8" s="2" t="s">
        <v>109</v>
      </c>
      <c r="AB8" s="2" t="s">
        <v>110</v>
      </c>
      <c r="AC8" s="2" t="s">
        <v>111</v>
      </c>
      <c r="AD8" s="2">
        <v>12</v>
      </c>
      <c r="AE8" s="2">
        <v>0</v>
      </c>
      <c r="AF8" s="2">
        <v>0</v>
      </c>
      <c r="AG8" s="2" t="s">
        <v>112</v>
      </c>
      <c r="AH8" s="2" t="s">
        <v>113</v>
      </c>
      <c r="AI8" s="2"/>
      <c r="AJ8" s="2"/>
      <c r="AK8" s="2">
        <v>350</v>
      </c>
      <c r="AL8" s="2">
        <v>12</v>
      </c>
      <c r="AM8" s="2">
        <v>0</v>
      </c>
      <c r="AN8" s="2"/>
      <c r="AO8" s="2" t="s">
        <v>114</v>
      </c>
      <c r="AP8" s="2"/>
      <c r="AQ8" s="2" t="s">
        <v>115</v>
      </c>
      <c r="AR8" s="2" t="s">
        <v>16</v>
      </c>
      <c r="AS8" s="2" t="s">
        <v>17</v>
      </c>
      <c r="AT8" s="2" t="s">
        <v>18</v>
      </c>
      <c r="AU8" s="2" t="s">
        <v>116</v>
      </c>
      <c r="AV8" s="2" t="s">
        <v>19</v>
      </c>
      <c r="AW8" s="2" t="s">
        <v>117</v>
      </c>
      <c r="AX8" s="2" t="s">
        <v>118</v>
      </c>
      <c r="AY8" s="2" t="s">
        <v>119</v>
      </c>
      <c r="AZ8" s="2" t="s">
        <v>120</v>
      </c>
      <c r="BA8" s="2" t="s">
        <v>121</v>
      </c>
      <c r="BB8" s="2" t="s">
        <v>122</v>
      </c>
      <c r="BC8" s="2" t="s">
        <v>123</v>
      </c>
      <c r="BD8" s="5">
        <v>46280</v>
      </c>
      <c r="BE8" s="6">
        <v>46280.378229166658</v>
      </c>
      <c r="BF8" s="2">
        <v>0.99</v>
      </c>
      <c r="BG8" s="2" t="s">
        <v>113</v>
      </c>
    </row>
    <row r="9" spans="1:59" ht="43.5" x14ac:dyDescent="0.35">
      <c r="A9" s="2" t="s">
        <v>92</v>
      </c>
      <c r="B9" s="2" t="s">
        <v>14</v>
      </c>
      <c r="C9" s="2" t="s">
        <v>93</v>
      </c>
      <c r="D9" s="2" t="s">
        <v>94</v>
      </c>
      <c r="E9" s="2" t="s">
        <v>95</v>
      </c>
      <c r="F9" s="2" t="s">
        <v>151</v>
      </c>
      <c r="G9" s="2" t="s">
        <v>135</v>
      </c>
      <c r="H9" s="2" t="s">
        <v>152</v>
      </c>
      <c r="I9" s="2">
        <v>5</v>
      </c>
      <c r="J9" s="2" t="s">
        <v>153</v>
      </c>
      <c r="K9" s="2" t="s">
        <v>154</v>
      </c>
      <c r="L9" s="2">
        <v>5</v>
      </c>
      <c r="M9" s="5">
        <v>46280</v>
      </c>
      <c r="N9" s="6">
        <v>46280.375451388893</v>
      </c>
      <c r="O9" s="6">
        <v>46280.37572916667</v>
      </c>
      <c r="P9" s="2">
        <v>24</v>
      </c>
      <c r="Q9" s="2" t="s">
        <v>101</v>
      </c>
      <c r="R9" s="2" t="s">
        <v>102</v>
      </c>
      <c r="S9" s="2" t="s">
        <v>103</v>
      </c>
      <c r="T9" s="2" t="s">
        <v>104</v>
      </c>
      <c r="U9" s="2" t="s">
        <v>139</v>
      </c>
      <c r="V9" s="2" t="s">
        <v>135</v>
      </c>
      <c r="W9" s="2" t="s">
        <v>155</v>
      </c>
      <c r="X9" s="2" t="s">
        <v>156</v>
      </c>
      <c r="Y9" s="2" t="s">
        <v>130</v>
      </c>
      <c r="Z9" s="2" t="s">
        <v>157</v>
      </c>
      <c r="AA9" s="2" t="s">
        <v>158</v>
      </c>
      <c r="AB9" s="2" t="s">
        <v>159</v>
      </c>
      <c r="AC9" s="2" t="s">
        <v>133</v>
      </c>
      <c r="AD9" s="2">
        <v>0</v>
      </c>
      <c r="AE9" s="2">
        <v>0</v>
      </c>
      <c r="AF9" s="2">
        <v>0</v>
      </c>
      <c r="AG9" s="2" t="s">
        <v>112</v>
      </c>
      <c r="AH9" s="2" t="s">
        <v>112</v>
      </c>
      <c r="AI9" s="2"/>
      <c r="AJ9" s="2"/>
      <c r="AK9" s="2">
        <v>350</v>
      </c>
      <c r="AL9" s="2">
        <v>12</v>
      </c>
      <c r="AM9" s="2">
        <v>12</v>
      </c>
      <c r="AN9" s="2"/>
      <c r="AO9" s="2" t="s">
        <v>114</v>
      </c>
      <c r="AP9" s="2"/>
      <c r="AQ9" s="2" t="s">
        <v>115</v>
      </c>
      <c r="AR9" s="2" t="s">
        <v>16</v>
      </c>
      <c r="AS9" s="2" t="s">
        <v>17</v>
      </c>
      <c r="AT9" s="2" t="s">
        <v>18</v>
      </c>
      <c r="AU9" s="2" t="s">
        <v>116</v>
      </c>
      <c r="AV9" s="2" t="s">
        <v>19</v>
      </c>
      <c r="AW9" s="2" t="s">
        <v>117</v>
      </c>
      <c r="AX9" s="2" t="s">
        <v>118</v>
      </c>
      <c r="AY9" s="2" t="s">
        <v>119</v>
      </c>
      <c r="AZ9" s="2" t="s">
        <v>120</v>
      </c>
      <c r="BA9" s="2" t="s">
        <v>121</v>
      </c>
      <c r="BB9" s="2" t="s">
        <v>122</v>
      </c>
      <c r="BC9" s="2" t="s">
        <v>123</v>
      </c>
      <c r="BD9" s="5">
        <v>46280</v>
      </c>
      <c r="BE9" s="6">
        <v>46280.378506944442</v>
      </c>
      <c r="BF9" s="2">
        <v>0.99</v>
      </c>
      <c r="BG9" s="2" t="s">
        <v>113</v>
      </c>
    </row>
    <row r="10" spans="1:59" ht="43.5" x14ac:dyDescent="0.35">
      <c r="A10" s="2" t="s">
        <v>92</v>
      </c>
      <c r="B10" s="2" t="s">
        <v>14</v>
      </c>
      <c r="C10" s="2" t="s">
        <v>93</v>
      </c>
      <c r="D10" s="2" t="s">
        <v>94</v>
      </c>
      <c r="E10" s="2" t="s">
        <v>95</v>
      </c>
      <c r="F10" s="2" t="s">
        <v>160</v>
      </c>
      <c r="G10" s="2" t="s">
        <v>161</v>
      </c>
      <c r="H10" s="2" t="s">
        <v>162</v>
      </c>
      <c r="I10" s="2">
        <v>6</v>
      </c>
      <c r="J10" s="2" t="s">
        <v>163</v>
      </c>
      <c r="K10" s="2" t="s">
        <v>164</v>
      </c>
      <c r="L10" s="2">
        <v>6</v>
      </c>
      <c r="M10" s="5">
        <v>46280</v>
      </c>
      <c r="N10" s="6">
        <v>46280.37572916667</v>
      </c>
      <c r="O10" s="6">
        <v>46280.375798611109</v>
      </c>
      <c r="P10" s="2">
        <v>6</v>
      </c>
      <c r="Q10" s="2" t="s">
        <v>101</v>
      </c>
      <c r="R10" s="2" t="s">
        <v>102</v>
      </c>
      <c r="S10" s="2" t="s">
        <v>103</v>
      </c>
      <c r="T10" s="2" t="s">
        <v>104</v>
      </c>
      <c r="U10" s="2" t="s">
        <v>165</v>
      </c>
      <c r="V10" s="2" t="s">
        <v>161</v>
      </c>
      <c r="W10" s="2" t="s">
        <v>166</v>
      </c>
      <c r="X10" s="2" t="s">
        <v>167</v>
      </c>
      <c r="Y10" s="2" t="s">
        <v>142</v>
      </c>
      <c r="Z10" s="2" t="s">
        <v>168</v>
      </c>
      <c r="AA10" s="2" t="s">
        <v>144</v>
      </c>
      <c r="AB10" s="2" t="s">
        <v>110</v>
      </c>
      <c r="AC10" s="2" t="s">
        <v>145</v>
      </c>
      <c r="AD10" s="2">
        <v>0</v>
      </c>
      <c r="AE10" s="2">
        <v>1</v>
      </c>
      <c r="AF10" s="2">
        <v>0</v>
      </c>
      <c r="AG10" s="2" t="s">
        <v>112</v>
      </c>
      <c r="AH10" s="2" t="s">
        <v>112</v>
      </c>
      <c r="AI10" s="2"/>
      <c r="AJ10" s="2"/>
      <c r="AK10" s="2">
        <v>350</v>
      </c>
      <c r="AL10" s="2">
        <v>6</v>
      </c>
      <c r="AM10" s="2">
        <v>0</v>
      </c>
      <c r="AN10" s="2"/>
      <c r="AO10" s="2" t="s">
        <v>114</v>
      </c>
      <c r="AP10" s="2"/>
      <c r="AQ10" s="2" t="s">
        <v>115</v>
      </c>
      <c r="AR10" s="2" t="s">
        <v>16</v>
      </c>
      <c r="AS10" s="2" t="s">
        <v>17</v>
      </c>
      <c r="AT10" s="2" t="s">
        <v>18</v>
      </c>
      <c r="AU10" s="2" t="s">
        <v>116</v>
      </c>
      <c r="AV10" s="2" t="s">
        <v>19</v>
      </c>
      <c r="AW10" s="2" t="s">
        <v>117</v>
      </c>
      <c r="AX10" s="2" t="s">
        <v>118</v>
      </c>
      <c r="AY10" s="2" t="s">
        <v>119</v>
      </c>
      <c r="AZ10" s="2" t="s">
        <v>120</v>
      </c>
      <c r="BA10" s="2" t="s">
        <v>121</v>
      </c>
      <c r="BB10" s="2" t="s">
        <v>122</v>
      </c>
      <c r="BC10" s="2" t="s">
        <v>123</v>
      </c>
      <c r="BD10" s="5">
        <v>46280</v>
      </c>
      <c r="BE10" s="6">
        <v>46280.378576388888</v>
      </c>
      <c r="BF10" s="2">
        <v>0.99</v>
      </c>
      <c r="BG10" s="2" t="s">
        <v>113</v>
      </c>
    </row>
    <row r="11" spans="1:59" ht="43.5" x14ac:dyDescent="0.35">
      <c r="A11" s="2" t="s">
        <v>92</v>
      </c>
      <c r="B11" s="2" t="s">
        <v>14</v>
      </c>
      <c r="C11" s="2" t="s">
        <v>93</v>
      </c>
      <c r="D11" s="2" t="s">
        <v>94</v>
      </c>
      <c r="E11" s="2" t="s">
        <v>95</v>
      </c>
      <c r="F11" s="2" t="s">
        <v>169</v>
      </c>
      <c r="G11" s="2" t="s">
        <v>161</v>
      </c>
      <c r="H11" s="2" t="s">
        <v>170</v>
      </c>
      <c r="I11" s="2">
        <v>7</v>
      </c>
      <c r="J11" s="2" t="s">
        <v>171</v>
      </c>
      <c r="K11" s="2" t="s">
        <v>172</v>
      </c>
      <c r="L11" s="2">
        <v>7</v>
      </c>
      <c r="M11" s="5">
        <v>46280</v>
      </c>
      <c r="N11" s="6">
        <v>46280.375798611109</v>
      </c>
      <c r="O11" s="6">
        <v>46280.375983796293</v>
      </c>
      <c r="P11" s="2">
        <v>16</v>
      </c>
      <c r="Q11" s="2" t="s">
        <v>101</v>
      </c>
      <c r="R11" s="2" t="s">
        <v>102</v>
      </c>
      <c r="S11" s="2" t="s">
        <v>103</v>
      </c>
      <c r="T11" s="2" t="s">
        <v>104</v>
      </c>
      <c r="U11" s="2" t="s">
        <v>165</v>
      </c>
      <c r="V11" s="2" t="s">
        <v>161</v>
      </c>
      <c r="W11" s="2" t="s">
        <v>173</v>
      </c>
      <c r="X11" s="2" t="s">
        <v>174</v>
      </c>
      <c r="Y11" s="2" t="s">
        <v>142</v>
      </c>
      <c r="Z11" s="2" t="s">
        <v>175</v>
      </c>
      <c r="AA11" s="2" t="s">
        <v>144</v>
      </c>
      <c r="AB11" s="2" t="s">
        <v>110</v>
      </c>
      <c r="AC11" s="2" t="s">
        <v>145</v>
      </c>
      <c r="AD11" s="2">
        <v>0</v>
      </c>
      <c r="AE11" s="2">
        <v>2</v>
      </c>
      <c r="AF11" s="2">
        <v>0</v>
      </c>
      <c r="AG11" s="2" t="s">
        <v>112</v>
      </c>
      <c r="AH11" s="2" t="s">
        <v>112</v>
      </c>
      <c r="AI11" s="2"/>
      <c r="AJ11" s="2"/>
      <c r="AK11" s="2">
        <v>350</v>
      </c>
      <c r="AL11" s="2">
        <v>16</v>
      </c>
      <c r="AM11" s="2">
        <v>0</v>
      </c>
      <c r="AN11" s="2"/>
      <c r="AO11" s="2" t="s">
        <v>114</v>
      </c>
      <c r="AP11" s="2"/>
      <c r="AQ11" s="2" t="s">
        <v>115</v>
      </c>
      <c r="AR11" s="2" t="s">
        <v>16</v>
      </c>
      <c r="AS11" s="2" t="s">
        <v>17</v>
      </c>
      <c r="AT11" s="2" t="s">
        <v>18</v>
      </c>
      <c r="AU11" s="2" t="s">
        <v>116</v>
      </c>
      <c r="AV11" s="2" t="s">
        <v>19</v>
      </c>
      <c r="AW11" s="2" t="s">
        <v>117</v>
      </c>
      <c r="AX11" s="2" t="s">
        <v>118</v>
      </c>
      <c r="AY11" s="2" t="s">
        <v>119</v>
      </c>
      <c r="AZ11" s="2" t="s">
        <v>120</v>
      </c>
      <c r="BA11" s="2" t="s">
        <v>121</v>
      </c>
      <c r="BB11" s="2" t="s">
        <v>122</v>
      </c>
      <c r="BC11" s="2" t="s">
        <v>123</v>
      </c>
      <c r="BD11" s="5">
        <v>46280</v>
      </c>
      <c r="BE11" s="6">
        <v>46280.378761574073</v>
      </c>
      <c r="BF11" s="2">
        <v>0.99</v>
      </c>
      <c r="BG11" s="2" t="s">
        <v>113</v>
      </c>
    </row>
    <row r="12" spans="1:59" ht="43.5" x14ac:dyDescent="0.35">
      <c r="A12" s="2" t="s">
        <v>92</v>
      </c>
      <c r="B12" s="2" t="s">
        <v>14</v>
      </c>
      <c r="C12" s="2" t="s">
        <v>93</v>
      </c>
      <c r="D12" s="2" t="s">
        <v>94</v>
      </c>
      <c r="E12" s="2" t="s">
        <v>95</v>
      </c>
      <c r="F12" s="2" t="s">
        <v>176</v>
      </c>
      <c r="G12" s="2" t="s">
        <v>161</v>
      </c>
      <c r="H12" s="2" t="s">
        <v>177</v>
      </c>
      <c r="I12" s="2">
        <v>8</v>
      </c>
      <c r="J12" s="2" t="s">
        <v>178</v>
      </c>
      <c r="K12" s="2" t="s">
        <v>179</v>
      </c>
      <c r="L12" s="2">
        <v>8</v>
      </c>
      <c r="M12" s="5">
        <v>46280</v>
      </c>
      <c r="N12" s="6">
        <v>46280.375983796293</v>
      </c>
      <c r="O12" s="6">
        <v>46280.376215277778</v>
      </c>
      <c r="P12" s="2">
        <v>20</v>
      </c>
      <c r="Q12" s="2" t="s">
        <v>101</v>
      </c>
      <c r="R12" s="2" t="s">
        <v>102</v>
      </c>
      <c r="S12" s="2" t="s">
        <v>103</v>
      </c>
      <c r="T12" s="2" t="s">
        <v>104</v>
      </c>
      <c r="U12" s="2" t="s">
        <v>165</v>
      </c>
      <c r="V12" s="2" t="s">
        <v>161</v>
      </c>
      <c r="W12" s="2" t="s">
        <v>180</v>
      </c>
      <c r="X12" s="2" t="s">
        <v>181</v>
      </c>
      <c r="Y12" s="2" t="s">
        <v>108</v>
      </c>
      <c r="Z12" s="2" t="s">
        <v>182</v>
      </c>
      <c r="AA12" s="2" t="s">
        <v>109</v>
      </c>
      <c r="AB12" s="2" t="s">
        <v>110</v>
      </c>
      <c r="AC12" s="2" t="s">
        <v>111</v>
      </c>
      <c r="AD12" s="2">
        <v>16</v>
      </c>
      <c r="AE12" s="2">
        <v>2</v>
      </c>
      <c r="AF12" s="2">
        <v>0</v>
      </c>
      <c r="AG12" s="2" t="s">
        <v>112</v>
      </c>
      <c r="AH12" s="2" t="s">
        <v>113</v>
      </c>
      <c r="AI12" s="2"/>
      <c r="AJ12" s="2"/>
      <c r="AK12" s="2">
        <v>350</v>
      </c>
      <c r="AL12" s="2">
        <v>20</v>
      </c>
      <c r="AM12" s="2">
        <v>0</v>
      </c>
      <c r="AN12" s="2"/>
      <c r="AO12" s="2" t="s">
        <v>114</v>
      </c>
      <c r="AP12" s="2"/>
      <c r="AQ12" s="2" t="s">
        <v>115</v>
      </c>
      <c r="AR12" s="2" t="s">
        <v>16</v>
      </c>
      <c r="AS12" s="2" t="s">
        <v>17</v>
      </c>
      <c r="AT12" s="2" t="s">
        <v>18</v>
      </c>
      <c r="AU12" s="2" t="s">
        <v>116</v>
      </c>
      <c r="AV12" s="2" t="s">
        <v>19</v>
      </c>
      <c r="AW12" s="2" t="s">
        <v>117</v>
      </c>
      <c r="AX12" s="2" t="s">
        <v>118</v>
      </c>
      <c r="AY12" s="2" t="s">
        <v>119</v>
      </c>
      <c r="AZ12" s="2" t="s">
        <v>120</v>
      </c>
      <c r="BA12" s="2" t="s">
        <v>121</v>
      </c>
      <c r="BB12" s="2" t="s">
        <v>122</v>
      </c>
      <c r="BC12" s="2" t="s">
        <v>123</v>
      </c>
      <c r="BD12" s="5">
        <v>46280</v>
      </c>
      <c r="BE12" s="6">
        <v>46280.378993055558</v>
      </c>
      <c r="BF12" s="2">
        <v>0.99</v>
      </c>
      <c r="BG12" s="2" t="s">
        <v>113</v>
      </c>
    </row>
    <row r="13" spans="1:59" ht="43.5" x14ac:dyDescent="0.35">
      <c r="A13" s="2" t="s">
        <v>92</v>
      </c>
      <c r="B13" s="2" t="s">
        <v>14</v>
      </c>
      <c r="C13" s="2" t="s">
        <v>93</v>
      </c>
      <c r="D13" s="2" t="s">
        <v>94</v>
      </c>
      <c r="E13" s="2" t="s">
        <v>95</v>
      </c>
      <c r="F13" s="2" t="s">
        <v>183</v>
      </c>
      <c r="G13" s="2" t="s">
        <v>184</v>
      </c>
      <c r="H13" s="2" t="s">
        <v>185</v>
      </c>
      <c r="I13" s="2">
        <v>9</v>
      </c>
      <c r="J13" s="2" t="s">
        <v>186</v>
      </c>
      <c r="K13" s="2" t="s">
        <v>187</v>
      </c>
      <c r="L13" s="2">
        <v>9</v>
      </c>
      <c r="M13" s="5">
        <v>46283</v>
      </c>
      <c r="N13" s="6">
        <v>46283.53125</v>
      </c>
      <c r="O13" s="6">
        <v>46283.531365740739</v>
      </c>
      <c r="P13" s="2">
        <v>10</v>
      </c>
      <c r="Q13" s="2" t="s">
        <v>101</v>
      </c>
      <c r="R13" s="2" t="s">
        <v>102</v>
      </c>
      <c r="S13" s="2" t="s">
        <v>103</v>
      </c>
      <c r="T13" s="2" t="s">
        <v>104</v>
      </c>
      <c r="U13" s="2" t="s">
        <v>188</v>
      </c>
      <c r="V13" s="2" t="s">
        <v>184</v>
      </c>
      <c r="W13" s="2" t="s">
        <v>189</v>
      </c>
      <c r="X13" s="2" t="s">
        <v>190</v>
      </c>
      <c r="Y13" s="2" t="s">
        <v>108</v>
      </c>
      <c r="Z13" s="2" t="s">
        <v>5</v>
      </c>
      <c r="AA13" s="2" t="s">
        <v>109</v>
      </c>
      <c r="AB13" s="2" t="s">
        <v>110</v>
      </c>
      <c r="AC13" s="2" t="s">
        <v>111</v>
      </c>
      <c r="AD13" s="2">
        <v>14</v>
      </c>
      <c r="AE13" s="2">
        <v>0</v>
      </c>
      <c r="AF13" s="2">
        <v>0</v>
      </c>
      <c r="AG13" s="2" t="s">
        <v>112</v>
      </c>
      <c r="AH13" s="2" t="s">
        <v>113</v>
      </c>
      <c r="AI13" s="2"/>
      <c r="AJ13" s="2"/>
      <c r="AK13" s="2">
        <v>350</v>
      </c>
      <c r="AL13" s="2">
        <v>10</v>
      </c>
      <c r="AM13" s="2">
        <v>0</v>
      </c>
      <c r="AN13" s="2"/>
      <c r="AO13" s="2" t="s">
        <v>114</v>
      </c>
      <c r="AP13" s="2"/>
      <c r="AQ13" s="2" t="s">
        <v>115</v>
      </c>
      <c r="AR13" s="2" t="s">
        <v>16</v>
      </c>
      <c r="AS13" s="2" t="s">
        <v>17</v>
      </c>
      <c r="AT13" s="2" t="s">
        <v>18</v>
      </c>
      <c r="AU13" s="2" t="s">
        <v>116</v>
      </c>
      <c r="AV13" s="2" t="s">
        <v>19</v>
      </c>
      <c r="AW13" s="2" t="s">
        <v>117</v>
      </c>
      <c r="AX13" s="2" t="s">
        <v>118</v>
      </c>
      <c r="AY13" s="2" t="s">
        <v>119</v>
      </c>
      <c r="AZ13" s="2" t="s">
        <v>120</v>
      </c>
      <c r="BA13" s="2" t="s">
        <v>121</v>
      </c>
      <c r="BB13" s="2" t="s">
        <v>122</v>
      </c>
      <c r="BC13" s="2" t="s">
        <v>123</v>
      </c>
      <c r="BD13" s="5">
        <v>46283</v>
      </c>
      <c r="BE13" s="6">
        <v>46283.534143518518</v>
      </c>
      <c r="BF13" s="2">
        <v>0.99</v>
      </c>
      <c r="BG13" s="2" t="s">
        <v>113</v>
      </c>
    </row>
    <row r="14" spans="1:59" ht="43.5" x14ac:dyDescent="0.35">
      <c r="A14" s="2" t="s">
        <v>92</v>
      </c>
      <c r="B14" s="2" t="s">
        <v>14</v>
      </c>
      <c r="C14" s="2" t="s">
        <v>93</v>
      </c>
      <c r="D14" s="2" t="s">
        <v>94</v>
      </c>
      <c r="E14" s="2" t="s">
        <v>95</v>
      </c>
      <c r="F14" s="2" t="s">
        <v>191</v>
      </c>
      <c r="G14" s="2" t="s">
        <v>184</v>
      </c>
      <c r="H14" s="2" t="s">
        <v>192</v>
      </c>
      <c r="I14" s="2">
        <v>10</v>
      </c>
      <c r="J14" s="2" t="s">
        <v>193</v>
      </c>
      <c r="K14" s="2" t="s">
        <v>194</v>
      </c>
      <c r="L14" s="2">
        <v>10</v>
      </c>
      <c r="M14" s="5">
        <v>46283</v>
      </c>
      <c r="N14" s="6">
        <v>46283.531365740739</v>
      </c>
      <c r="O14" s="6">
        <v>46283.531504629631</v>
      </c>
      <c r="P14" s="2">
        <v>12</v>
      </c>
      <c r="Q14" s="2" t="s">
        <v>101</v>
      </c>
      <c r="R14" s="2" t="s">
        <v>102</v>
      </c>
      <c r="S14" s="2" t="s">
        <v>103</v>
      </c>
      <c r="T14" s="2" t="s">
        <v>104</v>
      </c>
      <c r="U14" s="2" t="s">
        <v>188</v>
      </c>
      <c r="V14" s="2" t="s">
        <v>184</v>
      </c>
      <c r="W14" s="2" t="s">
        <v>195</v>
      </c>
      <c r="X14" s="2" t="s">
        <v>196</v>
      </c>
      <c r="Y14" s="2" t="s">
        <v>142</v>
      </c>
      <c r="Z14" s="2" t="s">
        <v>197</v>
      </c>
      <c r="AA14" s="2" t="s">
        <v>144</v>
      </c>
      <c r="AB14" s="2" t="s">
        <v>110</v>
      </c>
      <c r="AC14" s="2" t="s">
        <v>145</v>
      </c>
      <c r="AD14" s="2">
        <v>0</v>
      </c>
      <c r="AE14" s="2">
        <v>2</v>
      </c>
      <c r="AF14" s="2">
        <v>0</v>
      </c>
      <c r="AG14" s="2" t="s">
        <v>112</v>
      </c>
      <c r="AH14" s="2" t="s">
        <v>112</v>
      </c>
      <c r="AI14" s="2"/>
      <c r="AJ14" s="2"/>
      <c r="AK14" s="2">
        <v>350</v>
      </c>
      <c r="AL14" s="2">
        <v>12</v>
      </c>
      <c r="AM14" s="2">
        <v>0</v>
      </c>
      <c r="AN14" s="2"/>
      <c r="AO14" s="2" t="s">
        <v>114</v>
      </c>
      <c r="AP14" s="2"/>
      <c r="AQ14" s="2" t="s">
        <v>115</v>
      </c>
      <c r="AR14" s="2" t="s">
        <v>16</v>
      </c>
      <c r="AS14" s="2" t="s">
        <v>17</v>
      </c>
      <c r="AT14" s="2" t="s">
        <v>18</v>
      </c>
      <c r="AU14" s="2" t="s">
        <v>116</v>
      </c>
      <c r="AV14" s="2" t="s">
        <v>19</v>
      </c>
      <c r="AW14" s="2" t="s">
        <v>117</v>
      </c>
      <c r="AX14" s="2" t="s">
        <v>118</v>
      </c>
      <c r="AY14" s="2" t="s">
        <v>119</v>
      </c>
      <c r="AZ14" s="2" t="s">
        <v>120</v>
      </c>
      <c r="BA14" s="2" t="s">
        <v>121</v>
      </c>
      <c r="BB14" s="2" t="s">
        <v>122</v>
      </c>
      <c r="BC14" s="2" t="s">
        <v>123</v>
      </c>
      <c r="BD14" s="5">
        <v>46283</v>
      </c>
      <c r="BE14" s="6">
        <v>46283.534282407411</v>
      </c>
      <c r="BF14" s="2">
        <v>0.99</v>
      </c>
      <c r="BG14" s="2" t="s">
        <v>113</v>
      </c>
    </row>
    <row r="15" spans="1:59" ht="43.5" x14ac:dyDescent="0.35">
      <c r="A15" s="2" t="s">
        <v>92</v>
      </c>
      <c r="B15" s="2" t="s">
        <v>14</v>
      </c>
      <c r="C15" s="2" t="s">
        <v>93</v>
      </c>
      <c r="D15" s="2" t="s">
        <v>94</v>
      </c>
      <c r="E15" s="2" t="s">
        <v>95</v>
      </c>
      <c r="F15" s="2" t="s">
        <v>198</v>
      </c>
      <c r="G15" s="2" t="s">
        <v>199</v>
      </c>
      <c r="H15" s="2" t="s">
        <v>200</v>
      </c>
      <c r="I15" s="2">
        <v>11</v>
      </c>
      <c r="J15" s="2" t="s">
        <v>201</v>
      </c>
      <c r="K15" s="2" t="s">
        <v>202</v>
      </c>
      <c r="L15" s="2">
        <v>11</v>
      </c>
      <c r="M15" s="5">
        <v>46283</v>
      </c>
      <c r="N15" s="6">
        <v>46283.531504629631</v>
      </c>
      <c r="O15" s="6">
        <v>46283.531597222223</v>
      </c>
      <c r="P15" s="2">
        <v>8</v>
      </c>
      <c r="Q15" s="2" t="s">
        <v>101</v>
      </c>
      <c r="R15" s="2" t="s">
        <v>102</v>
      </c>
      <c r="S15" s="2" t="s">
        <v>103</v>
      </c>
      <c r="T15" s="2" t="s">
        <v>104</v>
      </c>
      <c r="U15" s="2" t="s">
        <v>188</v>
      </c>
      <c r="V15" s="2" t="s">
        <v>199</v>
      </c>
      <c r="W15" s="2" t="s">
        <v>203</v>
      </c>
      <c r="X15" s="2" t="s">
        <v>204</v>
      </c>
      <c r="Y15" s="2" t="s">
        <v>142</v>
      </c>
      <c r="Z15" s="2" t="s">
        <v>205</v>
      </c>
      <c r="AA15" s="2" t="s">
        <v>144</v>
      </c>
      <c r="AB15" s="2" t="s">
        <v>110</v>
      </c>
      <c r="AC15" s="2" t="s">
        <v>145</v>
      </c>
      <c r="AD15" s="2">
        <v>0</v>
      </c>
      <c r="AE15" s="2">
        <v>1</v>
      </c>
      <c r="AF15" s="2">
        <v>0</v>
      </c>
      <c r="AG15" s="2" t="s">
        <v>112</v>
      </c>
      <c r="AH15" s="2" t="s">
        <v>112</v>
      </c>
      <c r="AI15" s="2"/>
      <c r="AJ15" s="2"/>
      <c r="AK15" s="2">
        <v>350</v>
      </c>
      <c r="AL15" s="2">
        <v>8</v>
      </c>
      <c r="AM15" s="2">
        <v>0</v>
      </c>
      <c r="AN15" s="2"/>
      <c r="AO15" s="2" t="s">
        <v>114</v>
      </c>
      <c r="AP15" s="2"/>
      <c r="AQ15" s="2" t="s">
        <v>115</v>
      </c>
      <c r="AR15" s="2" t="s">
        <v>16</v>
      </c>
      <c r="AS15" s="2" t="s">
        <v>17</v>
      </c>
      <c r="AT15" s="2" t="s">
        <v>18</v>
      </c>
      <c r="AU15" s="2" t="s">
        <v>116</v>
      </c>
      <c r="AV15" s="2" t="s">
        <v>19</v>
      </c>
      <c r="AW15" s="2" t="s">
        <v>117</v>
      </c>
      <c r="AX15" s="2" t="s">
        <v>118</v>
      </c>
      <c r="AY15" s="2" t="s">
        <v>119</v>
      </c>
      <c r="AZ15" s="2" t="s">
        <v>120</v>
      </c>
      <c r="BA15" s="2" t="s">
        <v>121</v>
      </c>
      <c r="BB15" s="2" t="s">
        <v>122</v>
      </c>
      <c r="BC15" s="2" t="s">
        <v>123</v>
      </c>
      <c r="BD15" s="5">
        <v>46283</v>
      </c>
      <c r="BE15" s="6">
        <v>46283.534375000003</v>
      </c>
      <c r="BF15" s="2">
        <v>0.99</v>
      </c>
      <c r="BG15" s="2" t="s">
        <v>113</v>
      </c>
    </row>
    <row r="16" spans="1:59" ht="43.5" x14ac:dyDescent="0.35">
      <c r="A16" s="2" t="s">
        <v>92</v>
      </c>
      <c r="B16" s="2" t="s">
        <v>14</v>
      </c>
      <c r="C16" s="2" t="s">
        <v>93</v>
      </c>
      <c r="D16" s="2" t="s">
        <v>94</v>
      </c>
      <c r="E16" s="2" t="s">
        <v>95</v>
      </c>
      <c r="F16" s="2" t="s">
        <v>206</v>
      </c>
      <c r="G16" s="2" t="s">
        <v>199</v>
      </c>
      <c r="H16" s="2" t="s">
        <v>207</v>
      </c>
      <c r="I16" s="2">
        <v>12</v>
      </c>
      <c r="J16" s="2" t="s">
        <v>208</v>
      </c>
      <c r="K16" s="2" t="s">
        <v>209</v>
      </c>
      <c r="L16" s="2">
        <v>12</v>
      </c>
      <c r="M16" s="5">
        <v>46283</v>
      </c>
      <c r="N16" s="6">
        <v>46283.531597222223</v>
      </c>
      <c r="O16" s="6">
        <v>46283.532199074078</v>
      </c>
      <c r="P16" s="2">
        <v>52</v>
      </c>
      <c r="Q16" s="2" t="s">
        <v>101</v>
      </c>
      <c r="R16" s="2" t="s">
        <v>102</v>
      </c>
      <c r="S16" s="2" t="s">
        <v>103</v>
      </c>
      <c r="T16" s="2" t="s">
        <v>104</v>
      </c>
      <c r="U16" s="2" t="s">
        <v>188</v>
      </c>
      <c r="V16" s="2" t="s">
        <v>199</v>
      </c>
      <c r="W16" s="2" t="s">
        <v>210</v>
      </c>
      <c r="X16" s="2" t="s">
        <v>211</v>
      </c>
      <c r="Y16" s="2" t="s">
        <v>108</v>
      </c>
      <c r="Z16" s="2" t="s">
        <v>212</v>
      </c>
      <c r="AA16" s="2" t="s">
        <v>213</v>
      </c>
      <c r="AB16" s="2" t="s">
        <v>110</v>
      </c>
      <c r="AC16" s="2" t="s">
        <v>111</v>
      </c>
      <c r="AD16" s="2">
        <v>20</v>
      </c>
      <c r="AE16" s="2">
        <v>3</v>
      </c>
      <c r="AF16" s="2">
        <v>0</v>
      </c>
      <c r="AG16" s="2" t="s">
        <v>113</v>
      </c>
      <c r="AH16" s="2" t="s">
        <v>113</v>
      </c>
      <c r="AI16" s="2"/>
      <c r="AJ16" s="2"/>
      <c r="AK16" s="2">
        <v>350</v>
      </c>
      <c r="AL16" s="2">
        <v>52</v>
      </c>
      <c r="AM16" s="2">
        <v>0</v>
      </c>
      <c r="AN16" s="2"/>
      <c r="AO16" s="2" t="s">
        <v>114</v>
      </c>
      <c r="AP16" s="2"/>
      <c r="AQ16" s="2" t="s">
        <v>115</v>
      </c>
      <c r="AR16" s="2" t="s">
        <v>16</v>
      </c>
      <c r="AS16" s="2" t="s">
        <v>17</v>
      </c>
      <c r="AT16" s="2" t="s">
        <v>18</v>
      </c>
      <c r="AU16" s="2" t="s">
        <v>116</v>
      </c>
      <c r="AV16" s="2" t="s">
        <v>19</v>
      </c>
      <c r="AW16" s="2" t="s">
        <v>117</v>
      </c>
      <c r="AX16" s="2" t="s">
        <v>118</v>
      </c>
      <c r="AY16" s="2" t="s">
        <v>119</v>
      </c>
      <c r="AZ16" s="2" t="s">
        <v>120</v>
      </c>
      <c r="BA16" s="2" t="s">
        <v>121</v>
      </c>
      <c r="BB16" s="2" t="s">
        <v>122</v>
      </c>
      <c r="BC16" s="2" t="s">
        <v>123</v>
      </c>
      <c r="BD16" s="5">
        <v>46283</v>
      </c>
      <c r="BE16" s="6">
        <v>46283.53497685185</v>
      </c>
      <c r="BF16" s="2">
        <v>0.99</v>
      </c>
      <c r="BG16" s="2" t="s">
        <v>113</v>
      </c>
    </row>
    <row r="17" spans="1:59" ht="43.5" x14ac:dyDescent="0.35">
      <c r="A17" s="2" t="s">
        <v>92</v>
      </c>
      <c r="B17" s="2" t="s">
        <v>14</v>
      </c>
      <c r="C17" s="2" t="s">
        <v>93</v>
      </c>
      <c r="D17" s="2" t="s">
        <v>94</v>
      </c>
      <c r="E17" s="2" t="s">
        <v>95</v>
      </c>
      <c r="F17" s="2" t="s">
        <v>214</v>
      </c>
      <c r="G17" s="2" t="s">
        <v>199</v>
      </c>
      <c r="H17" s="2" t="s">
        <v>215</v>
      </c>
      <c r="I17" s="2">
        <v>13</v>
      </c>
      <c r="J17" s="2" t="s">
        <v>216</v>
      </c>
      <c r="K17" s="2" t="s">
        <v>217</v>
      </c>
      <c r="L17" s="2">
        <v>13</v>
      </c>
      <c r="M17" s="5">
        <v>46283</v>
      </c>
      <c r="N17" s="6">
        <v>46283.532199074078</v>
      </c>
      <c r="O17" s="6">
        <v>46283.532453703701</v>
      </c>
      <c r="P17" s="2">
        <v>22</v>
      </c>
      <c r="Q17" s="2" t="s">
        <v>101</v>
      </c>
      <c r="R17" s="2" t="s">
        <v>102</v>
      </c>
      <c r="S17" s="2" t="s">
        <v>103</v>
      </c>
      <c r="T17" s="2" t="s">
        <v>104</v>
      </c>
      <c r="U17" s="2" t="s">
        <v>188</v>
      </c>
      <c r="V17" s="2" t="s">
        <v>199</v>
      </c>
      <c r="W17" s="2" t="s">
        <v>218</v>
      </c>
      <c r="X17" s="2" t="s">
        <v>219</v>
      </c>
      <c r="Y17" s="2" t="s">
        <v>142</v>
      </c>
      <c r="Z17" s="2" t="s">
        <v>220</v>
      </c>
      <c r="AA17" s="2" t="s">
        <v>144</v>
      </c>
      <c r="AB17" s="2" t="s">
        <v>110</v>
      </c>
      <c r="AC17" s="2" t="s">
        <v>145</v>
      </c>
      <c r="AD17" s="2">
        <v>0</v>
      </c>
      <c r="AE17" s="2">
        <v>2</v>
      </c>
      <c r="AF17" s="2">
        <v>0</v>
      </c>
      <c r="AG17" s="2" t="s">
        <v>112</v>
      </c>
      <c r="AH17" s="2" t="s">
        <v>112</v>
      </c>
      <c r="AI17" s="2"/>
      <c r="AJ17" s="2"/>
      <c r="AK17" s="2">
        <v>350</v>
      </c>
      <c r="AL17" s="2">
        <v>12</v>
      </c>
      <c r="AM17" s="2">
        <v>10</v>
      </c>
      <c r="AN17" s="2"/>
      <c r="AO17" s="2" t="s">
        <v>114</v>
      </c>
      <c r="AP17" s="2"/>
      <c r="AQ17" s="2" t="s">
        <v>115</v>
      </c>
      <c r="AR17" s="2" t="s">
        <v>16</v>
      </c>
      <c r="AS17" s="2" t="s">
        <v>17</v>
      </c>
      <c r="AT17" s="2" t="s">
        <v>18</v>
      </c>
      <c r="AU17" s="2" t="s">
        <v>116</v>
      </c>
      <c r="AV17" s="2" t="s">
        <v>19</v>
      </c>
      <c r="AW17" s="2" t="s">
        <v>117</v>
      </c>
      <c r="AX17" s="2" t="s">
        <v>118</v>
      </c>
      <c r="AY17" s="2" t="s">
        <v>119</v>
      </c>
      <c r="AZ17" s="2" t="s">
        <v>120</v>
      </c>
      <c r="BA17" s="2" t="s">
        <v>121</v>
      </c>
      <c r="BB17" s="2" t="s">
        <v>122</v>
      </c>
      <c r="BC17" s="2" t="s">
        <v>123</v>
      </c>
      <c r="BD17" s="5">
        <v>46283</v>
      </c>
      <c r="BE17" s="6">
        <v>46283.535231481481</v>
      </c>
      <c r="BF17" s="2">
        <v>0.99</v>
      </c>
      <c r="BG17" s="2" t="s">
        <v>113</v>
      </c>
    </row>
    <row r="18" spans="1:59" ht="43.5" x14ac:dyDescent="0.35">
      <c r="A18" s="2" t="s">
        <v>92</v>
      </c>
      <c r="B18" s="2" t="s">
        <v>14</v>
      </c>
      <c r="C18" s="2" t="s">
        <v>93</v>
      </c>
      <c r="D18" s="2" t="s">
        <v>94</v>
      </c>
      <c r="E18" s="2" t="s">
        <v>95</v>
      </c>
      <c r="F18" s="2" t="s">
        <v>221</v>
      </c>
      <c r="G18" s="2" t="s">
        <v>222</v>
      </c>
      <c r="H18" s="2" t="s">
        <v>223</v>
      </c>
      <c r="I18" s="2">
        <v>14</v>
      </c>
      <c r="J18" s="2" t="s">
        <v>224</v>
      </c>
      <c r="K18" s="2" t="s">
        <v>225</v>
      </c>
      <c r="L18" s="2">
        <v>14</v>
      </c>
      <c r="M18" s="5">
        <v>46283</v>
      </c>
      <c r="N18" s="6">
        <v>46283.548611111109</v>
      </c>
      <c r="O18" s="6">
        <v>46283.548703703702</v>
      </c>
      <c r="P18" s="2">
        <v>8</v>
      </c>
      <c r="Q18" s="2" t="s">
        <v>101</v>
      </c>
      <c r="R18" s="2" t="s">
        <v>102</v>
      </c>
      <c r="S18" s="2" t="s">
        <v>103</v>
      </c>
      <c r="T18" s="2" t="s">
        <v>104</v>
      </c>
      <c r="U18" s="2" t="s">
        <v>188</v>
      </c>
      <c r="V18" s="2" t="s">
        <v>222</v>
      </c>
      <c r="W18" s="2" t="s">
        <v>226</v>
      </c>
      <c r="X18" s="2" t="s">
        <v>227</v>
      </c>
      <c r="Y18" s="2" t="s">
        <v>142</v>
      </c>
      <c r="Z18" s="2" t="s">
        <v>228</v>
      </c>
      <c r="AA18" s="2" t="s">
        <v>144</v>
      </c>
      <c r="AB18" s="2" t="s">
        <v>110</v>
      </c>
      <c r="AC18" s="2" t="s">
        <v>145</v>
      </c>
      <c r="AD18" s="2">
        <v>0</v>
      </c>
      <c r="AE18" s="2">
        <v>1</v>
      </c>
      <c r="AF18" s="2">
        <v>0</v>
      </c>
      <c r="AG18" s="2" t="s">
        <v>112</v>
      </c>
      <c r="AH18" s="2" t="s">
        <v>112</v>
      </c>
      <c r="AI18" s="2"/>
      <c r="AJ18" s="2"/>
      <c r="AK18" s="2">
        <v>350</v>
      </c>
      <c r="AL18" s="2">
        <v>8</v>
      </c>
      <c r="AM18" s="2">
        <v>0</v>
      </c>
      <c r="AN18" s="2"/>
      <c r="AO18" s="2" t="s">
        <v>114</v>
      </c>
      <c r="AP18" s="2"/>
      <c r="AQ18" s="2" t="s">
        <v>115</v>
      </c>
      <c r="AR18" s="2" t="s">
        <v>16</v>
      </c>
      <c r="AS18" s="2" t="s">
        <v>17</v>
      </c>
      <c r="AT18" s="2" t="s">
        <v>18</v>
      </c>
      <c r="AU18" s="2" t="s">
        <v>116</v>
      </c>
      <c r="AV18" s="2" t="s">
        <v>19</v>
      </c>
      <c r="AW18" s="2" t="s">
        <v>117</v>
      </c>
      <c r="AX18" s="2" t="s">
        <v>118</v>
      </c>
      <c r="AY18" s="2" t="s">
        <v>119</v>
      </c>
      <c r="AZ18" s="2" t="s">
        <v>120</v>
      </c>
      <c r="BA18" s="2" t="s">
        <v>121</v>
      </c>
      <c r="BB18" s="2" t="s">
        <v>122</v>
      </c>
      <c r="BC18" s="2" t="s">
        <v>123</v>
      </c>
      <c r="BD18" s="5">
        <v>46283</v>
      </c>
      <c r="BE18" s="6">
        <v>46283.551481481481</v>
      </c>
      <c r="BF18" s="2">
        <v>0.99</v>
      </c>
      <c r="BG18" s="2" t="s">
        <v>113</v>
      </c>
    </row>
    <row r="19" spans="1:59" ht="43.5" x14ac:dyDescent="0.35">
      <c r="A19" s="2" t="s">
        <v>92</v>
      </c>
      <c r="B19" s="2" t="s">
        <v>14</v>
      </c>
      <c r="C19" s="2" t="s">
        <v>93</v>
      </c>
      <c r="D19" s="2" t="s">
        <v>94</v>
      </c>
      <c r="E19" s="2" t="s">
        <v>95</v>
      </c>
      <c r="F19" s="2" t="s">
        <v>229</v>
      </c>
      <c r="G19" s="2" t="s">
        <v>230</v>
      </c>
      <c r="H19" s="2" t="s">
        <v>231</v>
      </c>
      <c r="I19" s="2">
        <v>15</v>
      </c>
      <c r="J19" s="2" t="s">
        <v>232</v>
      </c>
      <c r="K19" s="2" t="s">
        <v>233</v>
      </c>
      <c r="L19" s="2">
        <v>15</v>
      </c>
      <c r="M19" s="5">
        <v>46283</v>
      </c>
      <c r="N19" s="6">
        <v>46283.551388888889</v>
      </c>
      <c r="O19" s="6">
        <v>46283.55159722222</v>
      </c>
      <c r="P19" s="2">
        <v>18</v>
      </c>
      <c r="Q19" s="2" t="s">
        <v>101</v>
      </c>
      <c r="R19" s="2" t="s">
        <v>102</v>
      </c>
      <c r="S19" s="2" t="s">
        <v>103</v>
      </c>
      <c r="T19" s="2" t="s">
        <v>104</v>
      </c>
      <c r="U19" s="2" t="s">
        <v>188</v>
      </c>
      <c r="V19" s="2" t="s">
        <v>230</v>
      </c>
      <c r="W19" s="2" t="s">
        <v>234</v>
      </c>
      <c r="X19" s="2" t="s">
        <v>235</v>
      </c>
      <c r="Y19" s="2" t="s">
        <v>142</v>
      </c>
      <c r="Z19" s="2" t="s">
        <v>236</v>
      </c>
      <c r="AA19" s="2" t="s">
        <v>144</v>
      </c>
      <c r="AB19" s="2" t="s">
        <v>110</v>
      </c>
      <c r="AC19" s="2" t="s">
        <v>145</v>
      </c>
      <c r="AD19" s="2">
        <v>0</v>
      </c>
      <c r="AE19" s="2">
        <v>2</v>
      </c>
      <c r="AF19" s="2">
        <v>0</v>
      </c>
      <c r="AG19" s="2" t="s">
        <v>112</v>
      </c>
      <c r="AH19" s="2" t="s">
        <v>112</v>
      </c>
      <c r="AI19" s="2"/>
      <c r="AJ19" s="2"/>
      <c r="AK19" s="2">
        <v>350</v>
      </c>
      <c r="AL19" s="2">
        <v>18</v>
      </c>
      <c r="AM19" s="2">
        <v>0</v>
      </c>
      <c r="AN19" s="2"/>
      <c r="AO19" s="2" t="s">
        <v>114</v>
      </c>
      <c r="AP19" s="2"/>
      <c r="AQ19" s="2" t="s">
        <v>115</v>
      </c>
      <c r="AR19" s="2" t="s">
        <v>16</v>
      </c>
      <c r="AS19" s="2" t="s">
        <v>17</v>
      </c>
      <c r="AT19" s="2" t="s">
        <v>18</v>
      </c>
      <c r="AU19" s="2" t="s">
        <v>116</v>
      </c>
      <c r="AV19" s="2" t="s">
        <v>19</v>
      </c>
      <c r="AW19" s="2" t="s">
        <v>117</v>
      </c>
      <c r="AX19" s="2" t="s">
        <v>118</v>
      </c>
      <c r="AY19" s="2" t="s">
        <v>119</v>
      </c>
      <c r="AZ19" s="2" t="s">
        <v>120</v>
      </c>
      <c r="BA19" s="2" t="s">
        <v>121</v>
      </c>
      <c r="BB19" s="2" t="s">
        <v>122</v>
      </c>
      <c r="BC19" s="2" t="s">
        <v>123</v>
      </c>
      <c r="BD19" s="5">
        <v>46283</v>
      </c>
      <c r="BE19" s="6">
        <v>46283.554375</v>
      </c>
      <c r="BF19" s="2">
        <v>0.99</v>
      </c>
      <c r="BG19" s="2" t="s">
        <v>113</v>
      </c>
    </row>
    <row r="20" spans="1:59" ht="43.5" x14ac:dyDescent="0.35">
      <c r="A20" s="2" t="s">
        <v>92</v>
      </c>
      <c r="B20" s="2" t="s">
        <v>14</v>
      </c>
      <c r="C20" s="2" t="s">
        <v>93</v>
      </c>
      <c r="D20" s="2" t="s">
        <v>94</v>
      </c>
      <c r="E20" s="2" t="s">
        <v>95</v>
      </c>
      <c r="F20" s="2" t="s">
        <v>237</v>
      </c>
      <c r="G20" s="2" t="s">
        <v>238</v>
      </c>
      <c r="H20" s="2" t="s">
        <v>239</v>
      </c>
      <c r="I20" s="2">
        <v>16</v>
      </c>
      <c r="J20" s="2" t="s">
        <v>240</v>
      </c>
      <c r="K20" s="2" t="s">
        <v>241</v>
      </c>
      <c r="L20" s="2">
        <v>16</v>
      </c>
      <c r="M20" s="5">
        <v>46283</v>
      </c>
      <c r="N20" s="6">
        <v>46283.55159722222</v>
      </c>
      <c r="O20" s="6">
        <v>46283.551678240743</v>
      </c>
      <c r="P20" s="2">
        <v>7</v>
      </c>
      <c r="Q20" s="2" t="s">
        <v>101</v>
      </c>
      <c r="R20" s="2" t="s">
        <v>102</v>
      </c>
      <c r="S20" s="2" t="s">
        <v>103</v>
      </c>
      <c r="T20" s="2" t="s">
        <v>104</v>
      </c>
      <c r="U20" s="2" t="s">
        <v>242</v>
      </c>
      <c r="V20" s="2" t="s">
        <v>238</v>
      </c>
      <c r="W20" s="2" t="s">
        <v>243</v>
      </c>
      <c r="X20" s="2" t="s">
        <v>244</v>
      </c>
      <c r="Y20" s="2" t="s">
        <v>142</v>
      </c>
      <c r="Z20" s="2" t="s">
        <v>245</v>
      </c>
      <c r="AA20" s="2" t="s">
        <v>144</v>
      </c>
      <c r="AB20" s="2" t="s">
        <v>110</v>
      </c>
      <c r="AC20" s="2" t="s">
        <v>145</v>
      </c>
      <c r="AD20" s="2">
        <v>0</v>
      </c>
      <c r="AE20" s="2">
        <v>1</v>
      </c>
      <c r="AF20" s="2">
        <v>0</v>
      </c>
      <c r="AG20" s="2" t="s">
        <v>112</v>
      </c>
      <c r="AH20" s="2" t="s">
        <v>112</v>
      </c>
      <c r="AI20" s="2"/>
      <c r="AJ20" s="2"/>
      <c r="AK20" s="2">
        <v>350</v>
      </c>
      <c r="AL20" s="2">
        <v>7</v>
      </c>
      <c r="AM20" s="2">
        <v>0</v>
      </c>
      <c r="AN20" s="2"/>
      <c r="AO20" s="2" t="s">
        <v>114</v>
      </c>
      <c r="AP20" s="2"/>
      <c r="AQ20" s="2" t="s">
        <v>115</v>
      </c>
      <c r="AR20" s="2" t="s">
        <v>16</v>
      </c>
      <c r="AS20" s="2" t="s">
        <v>17</v>
      </c>
      <c r="AT20" s="2" t="s">
        <v>18</v>
      </c>
      <c r="AU20" s="2" t="s">
        <v>116</v>
      </c>
      <c r="AV20" s="2" t="s">
        <v>19</v>
      </c>
      <c r="AW20" s="2" t="s">
        <v>117</v>
      </c>
      <c r="AX20" s="2" t="s">
        <v>118</v>
      </c>
      <c r="AY20" s="2" t="s">
        <v>119</v>
      </c>
      <c r="AZ20" s="2" t="s">
        <v>120</v>
      </c>
      <c r="BA20" s="2" t="s">
        <v>121</v>
      </c>
      <c r="BB20" s="2" t="s">
        <v>122</v>
      </c>
      <c r="BC20" s="2" t="s">
        <v>123</v>
      </c>
      <c r="BD20" s="5">
        <v>46283</v>
      </c>
      <c r="BE20" s="6">
        <v>46283.554456018523</v>
      </c>
      <c r="BF20" s="2">
        <v>0.99</v>
      </c>
      <c r="BG20" s="2" t="s">
        <v>113</v>
      </c>
    </row>
    <row r="21" spans="1:59" ht="43.5" x14ac:dyDescent="0.35">
      <c r="A21" s="2" t="s">
        <v>92</v>
      </c>
      <c r="B21" s="2" t="s">
        <v>14</v>
      </c>
      <c r="C21" s="2" t="s">
        <v>93</v>
      </c>
      <c r="D21" s="2" t="s">
        <v>94</v>
      </c>
      <c r="E21" s="2" t="s">
        <v>95</v>
      </c>
      <c r="F21" s="2" t="s">
        <v>246</v>
      </c>
      <c r="G21" s="2" t="s">
        <v>238</v>
      </c>
      <c r="H21" s="2" t="s">
        <v>247</v>
      </c>
      <c r="I21" s="2">
        <v>17</v>
      </c>
      <c r="J21" s="2" t="s">
        <v>248</v>
      </c>
      <c r="K21" s="2" t="s">
        <v>249</v>
      </c>
      <c r="L21" s="2">
        <v>17</v>
      </c>
      <c r="M21" s="5">
        <v>46283</v>
      </c>
      <c r="N21" s="6">
        <v>46283.551678240743</v>
      </c>
      <c r="O21" s="6">
        <v>46283.561747685177</v>
      </c>
      <c r="P21" s="2">
        <v>870</v>
      </c>
      <c r="Q21" s="2" t="s">
        <v>101</v>
      </c>
      <c r="R21" s="2" t="s">
        <v>102</v>
      </c>
      <c r="S21" s="2" t="s">
        <v>103</v>
      </c>
      <c r="T21" s="2" t="s">
        <v>104</v>
      </c>
      <c r="U21" s="2" t="s">
        <v>242</v>
      </c>
      <c r="V21" s="2" t="s">
        <v>238</v>
      </c>
      <c r="W21" s="2" t="s">
        <v>250</v>
      </c>
      <c r="X21" s="2" t="s">
        <v>251</v>
      </c>
      <c r="Y21" s="2" t="s">
        <v>130</v>
      </c>
      <c r="Z21" s="2" t="s">
        <v>252</v>
      </c>
      <c r="AA21" s="2" t="s">
        <v>253</v>
      </c>
      <c r="AB21" s="2" t="s">
        <v>159</v>
      </c>
      <c r="AC21" s="2" t="s">
        <v>133</v>
      </c>
      <c r="AD21" s="2">
        <v>0</v>
      </c>
      <c r="AE21" s="2">
        <v>0</v>
      </c>
      <c r="AF21" s="2">
        <v>0</v>
      </c>
      <c r="AG21" s="2" t="s">
        <v>112</v>
      </c>
      <c r="AH21" s="2" t="s">
        <v>112</v>
      </c>
      <c r="AI21" s="2"/>
      <c r="AJ21" s="2"/>
      <c r="AK21" s="2">
        <v>870000</v>
      </c>
      <c r="AL21" s="2">
        <v>0</v>
      </c>
      <c r="AM21" s="2">
        <v>870</v>
      </c>
      <c r="AN21" s="2" t="s">
        <v>254</v>
      </c>
      <c r="AO21" s="7" t="s">
        <v>255</v>
      </c>
      <c r="AP21" s="2" t="s">
        <v>256</v>
      </c>
      <c r="AQ21" s="2" t="s">
        <v>115</v>
      </c>
      <c r="AR21" s="2" t="s">
        <v>16</v>
      </c>
      <c r="AS21" s="2" t="s">
        <v>17</v>
      </c>
      <c r="AT21" s="2" t="s">
        <v>18</v>
      </c>
      <c r="AU21" s="2" t="s">
        <v>116</v>
      </c>
      <c r="AV21" s="2" t="s">
        <v>19</v>
      </c>
      <c r="AW21" s="2" t="s">
        <v>117</v>
      </c>
      <c r="AX21" s="2" t="s">
        <v>118</v>
      </c>
      <c r="AY21" s="2" t="s">
        <v>119</v>
      </c>
      <c r="AZ21" s="2" t="s">
        <v>120</v>
      </c>
      <c r="BA21" s="2" t="s">
        <v>121</v>
      </c>
      <c r="BB21" s="2" t="s">
        <v>122</v>
      </c>
      <c r="BC21" s="2" t="s">
        <v>123</v>
      </c>
      <c r="BD21" s="5">
        <v>46283</v>
      </c>
      <c r="BE21" s="6">
        <v>46283.564525462964</v>
      </c>
      <c r="BF21" s="2">
        <v>0.99</v>
      </c>
      <c r="BG21" s="2" t="s">
        <v>113</v>
      </c>
    </row>
    <row r="22" spans="1:59" ht="43.5" x14ac:dyDescent="0.35">
      <c r="A22" s="2" t="s">
        <v>92</v>
      </c>
      <c r="B22" s="2" t="s">
        <v>14</v>
      </c>
      <c r="C22" s="2" t="s">
        <v>93</v>
      </c>
      <c r="D22" s="2" t="s">
        <v>94</v>
      </c>
      <c r="E22" s="2" t="s">
        <v>95</v>
      </c>
      <c r="F22" s="2" t="s">
        <v>257</v>
      </c>
      <c r="G22" s="2" t="s">
        <v>238</v>
      </c>
      <c r="H22" s="2" t="s">
        <v>258</v>
      </c>
      <c r="I22" s="2">
        <v>18</v>
      </c>
      <c r="J22" s="2" t="s">
        <v>259</v>
      </c>
      <c r="K22" s="2" t="s">
        <v>260</v>
      </c>
      <c r="L22" s="2">
        <v>18</v>
      </c>
      <c r="M22" s="5">
        <v>46283</v>
      </c>
      <c r="N22" s="6">
        <v>46283.561747685177</v>
      </c>
      <c r="O22" s="6">
        <v>46283.563136574077</v>
      </c>
      <c r="P22" s="2">
        <v>120</v>
      </c>
      <c r="Q22" s="2" t="s">
        <v>101</v>
      </c>
      <c r="R22" s="2" t="s">
        <v>102</v>
      </c>
      <c r="S22" s="2" t="s">
        <v>103</v>
      </c>
      <c r="T22" s="2" t="s">
        <v>104</v>
      </c>
      <c r="U22" s="2" t="s">
        <v>242</v>
      </c>
      <c r="V22" s="2" t="s">
        <v>238</v>
      </c>
      <c r="W22" s="2" t="s">
        <v>250</v>
      </c>
      <c r="X22" s="2" t="s">
        <v>251</v>
      </c>
      <c r="Y22" s="2" t="s">
        <v>108</v>
      </c>
      <c r="Z22" s="2" t="s">
        <v>261</v>
      </c>
      <c r="AA22" s="2" t="s">
        <v>109</v>
      </c>
      <c r="AB22" s="2" t="s">
        <v>110</v>
      </c>
      <c r="AC22" s="2" t="s">
        <v>111</v>
      </c>
      <c r="AD22" s="2">
        <v>24</v>
      </c>
      <c r="AE22" s="2">
        <v>5</v>
      </c>
      <c r="AF22" s="2">
        <v>0</v>
      </c>
      <c r="AG22" s="2" t="s">
        <v>112</v>
      </c>
      <c r="AH22" s="2" t="s">
        <v>113</v>
      </c>
      <c r="AI22" s="2"/>
      <c r="AJ22" s="2"/>
      <c r="AK22" s="2">
        <v>350</v>
      </c>
      <c r="AL22" s="2">
        <v>85</v>
      </c>
      <c r="AM22" s="2">
        <v>35</v>
      </c>
      <c r="AN22" s="2" t="s">
        <v>262</v>
      </c>
      <c r="AO22" s="2" t="s">
        <v>114</v>
      </c>
      <c r="AP22" s="2" t="s">
        <v>263</v>
      </c>
      <c r="AQ22" s="2" t="s">
        <v>115</v>
      </c>
      <c r="AR22" s="2" t="s">
        <v>16</v>
      </c>
      <c r="AS22" s="2" t="s">
        <v>17</v>
      </c>
      <c r="AT22" s="2" t="s">
        <v>18</v>
      </c>
      <c r="AU22" s="2" t="s">
        <v>116</v>
      </c>
      <c r="AV22" s="2" t="s">
        <v>19</v>
      </c>
      <c r="AW22" s="2" t="s">
        <v>117</v>
      </c>
      <c r="AX22" s="2" t="s">
        <v>118</v>
      </c>
      <c r="AY22" s="2" t="s">
        <v>119</v>
      </c>
      <c r="AZ22" s="2" t="s">
        <v>120</v>
      </c>
      <c r="BA22" s="2" t="s">
        <v>121</v>
      </c>
      <c r="BB22" s="2" t="s">
        <v>122</v>
      </c>
      <c r="BC22" s="2" t="s">
        <v>123</v>
      </c>
      <c r="BD22" s="5">
        <v>46283</v>
      </c>
      <c r="BE22" s="6">
        <v>46283.56591435185</v>
      </c>
      <c r="BF22" s="2">
        <v>0.99</v>
      </c>
      <c r="BG22" s="2" t="s">
        <v>113</v>
      </c>
    </row>
    <row r="23" spans="1:59" ht="43.5" x14ac:dyDescent="0.35">
      <c r="A23" s="2" t="s">
        <v>92</v>
      </c>
      <c r="B23" s="2" t="s">
        <v>14</v>
      </c>
      <c r="C23" s="2" t="s">
        <v>93</v>
      </c>
      <c r="D23" s="2" t="s">
        <v>94</v>
      </c>
      <c r="E23" s="2" t="s">
        <v>95</v>
      </c>
      <c r="F23" s="2" t="s">
        <v>264</v>
      </c>
      <c r="G23" s="2" t="s">
        <v>265</v>
      </c>
      <c r="H23" s="2" t="s">
        <v>266</v>
      </c>
      <c r="I23" s="2">
        <v>19</v>
      </c>
      <c r="J23" s="2" t="s">
        <v>267</v>
      </c>
      <c r="K23" s="2" t="s">
        <v>268</v>
      </c>
      <c r="L23" s="2">
        <v>19</v>
      </c>
      <c r="M23" s="5">
        <v>46283</v>
      </c>
      <c r="N23" s="6">
        <v>46283.563136574077</v>
      </c>
      <c r="O23" s="6">
        <v>46283.563425925917</v>
      </c>
      <c r="P23" s="2">
        <v>25</v>
      </c>
      <c r="Q23" s="2" t="s">
        <v>101</v>
      </c>
      <c r="R23" s="2" t="s">
        <v>102</v>
      </c>
      <c r="S23" s="2" t="s">
        <v>103</v>
      </c>
      <c r="T23" s="2" t="s">
        <v>104</v>
      </c>
      <c r="U23" s="2" t="s">
        <v>242</v>
      </c>
      <c r="V23" s="2" t="s">
        <v>265</v>
      </c>
      <c r="W23" s="2" t="s">
        <v>269</v>
      </c>
      <c r="X23" s="2" t="s">
        <v>265</v>
      </c>
      <c r="Y23" s="2" t="s">
        <v>142</v>
      </c>
      <c r="Z23" s="2" t="s">
        <v>270</v>
      </c>
      <c r="AA23" s="2" t="s">
        <v>144</v>
      </c>
      <c r="AB23" s="2" t="s">
        <v>110</v>
      </c>
      <c r="AC23" s="2" t="s">
        <v>145</v>
      </c>
      <c r="AD23" s="2">
        <v>0</v>
      </c>
      <c r="AE23" s="2">
        <v>3</v>
      </c>
      <c r="AF23" s="2">
        <v>0</v>
      </c>
      <c r="AG23" s="2" t="s">
        <v>112</v>
      </c>
      <c r="AH23" s="2" t="s">
        <v>112</v>
      </c>
      <c r="AI23" s="2"/>
      <c r="AJ23" s="2"/>
      <c r="AK23" s="2">
        <v>350</v>
      </c>
      <c r="AL23" s="2">
        <v>25</v>
      </c>
      <c r="AM23" s="2">
        <v>0</v>
      </c>
      <c r="AN23" s="2"/>
      <c r="AO23" s="2" t="s">
        <v>114</v>
      </c>
      <c r="AP23" s="2"/>
      <c r="AQ23" s="2" t="s">
        <v>115</v>
      </c>
      <c r="AR23" s="2" t="s">
        <v>16</v>
      </c>
      <c r="AS23" s="2" t="s">
        <v>17</v>
      </c>
      <c r="AT23" s="2" t="s">
        <v>18</v>
      </c>
      <c r="AU23" s="2" t="s">
        <v>116</v>
      </c>
      <c r="AV23" s="2" t="s">
        <v>19</v>
      </c>
      <c r="AW23" s="2" t="s">
        <v>117</v>
      </c>
      <c r="AX23" s="2" t="s">
        <v>118</v>
      </c>
      <c r="AY23" s="2" t="s">
        <v>119</v>
      </c>
      <c r="AZ23" s="2" t="s">
        <v>120</v>
      </c>
      <c r="BA23" s="2" t="s">
        <v>121</v>
      </c>
      <c r="BB23" s="2" t="s">
        <v>122</v>
      </c>
      <c r="BC23" s="2" t="s">
        <v>123</v>
      </c>
      <c r="BD23" s="5">
        <v>46283</v>
      </c>
      <c r="BE23" s="6">
        <v>46283.566203703696</v>
      </c>
      <c r="BF23" s="2">
        <v>0.99</v>
      </c>
      <c r="BG23" s="2" t="s">
        <v>113</v>
      </c>
    </row>
    <row r="24" spans="1:59" ht="43.5" x14ac:dyDescent="0.35">
      <c r="A24" s="2" t="s">
        <v>92</v>
      </c>
      <c r="B24" s="2" t="s">
        <v>14</v>
      </c>
      <c r="C24" s="2" t="s">
        <v>93</v>
      </c>
      <c r="D24" s="2" t="s">
        <v>94</v>
      </c>
      <c r="E24" s="2" t="s">
        <v>95</v>
      </c>
      <c r="F24" s="2" t="s">
        <v>271</v>
      </c>
      <c r="G24" s="2" t="s">
        <v>272</v>
      </c>
      <c r="H24" s="2" t="s">
        <v>273</v>
      </c>
      <c r="I24" s="2">
        <v>20</v>
      </c>
      <c r="J24" s="2" t="s">
        <v>274</v>
      </c>
      <c r="K24" s="2" t="s">
        <v>275</v>
      </c>
      <c r="L24" s="2">
        <v>20</v>
      </c>
      <c r="M24" s="5">
        <v>46283</v>
      </c>
      <c r="N24" s="6">
        <v>46283.563425925917</v>
      </c>
      <c r="O24" s="6">
        <v>46283.563564814824</v>
      </c>
      <c r="P24" s="2">
        <v>12</v>
      </c>
      <c r="Q24" s="2" t="s">
        <v>101</v>
      </c>
      <c r="R24" s="2" t="s">
        <v>102</v>
      </c>
      <c r="S24" s="2" t="s">
        <v>103</v>
      </c>
      <c r="T24" s="2" t="s">
        <v>104</v>
      </c>
      <c r="U24" s="2" t="s">
        <v>105</v>
      </c>
      <c r="V24" s="2" t="s">
        <v>272</v>
      </c>
      <c r="W24" s="2" t="s">
        <v>276</v>
      </c>
      <c r="X24" s="2" t="s">
        <v>277</v>
      </c>
      <c r="Y24" s="2" t="s">
        <v>142</v>
      </c>
      <c r="Z24" s="2" t="s">
        <v>278</v>
      </c>
      <c r="AA24" s="2" t="s">
        <v>144</v>
      </c>
      <c r="AB24" s="2" t="s">
        <v>110</v>
      </c>
      <c r="AC24" s="2" t="s">
        <v>145</v>
      </c>
      <c r="AD24" s="2">
        <v>0</v>
      </c>
      <c r="AE24" s="2">
        <v>2</v>
      </c>
      <c r="AF24" s="2">
        <v>0</v>
      </c>
      <c r="AG24" s="2" t="s">
        <v>112</v>
      </c>
      <c r="AH24" s="2" t="s">
        <v>112</v>
      </c>
      <c r="AI24" s="2"/>
      <c r="AJ24" s="2"/>
      <c r="AK24" s="2">
        <v>350</v>
      </c>
      <c r="AL24" s="2">
        <v>12</v>
      </c>
      <c r="AM24" s="2">
        <v>0</v>
      </c>
      <c r="AN24" s="2"/>
      <c r="AO24" s="2" t="s">
        <v>114</v>
      </c>
      <c r="AP24" s="2"/>
      <c r="AQ24" s="2" t="s">
        <v>115</v>
      </c>
      <c r="AR24" s="2" t="s">
        <v>16</v>
      </c>
      <c r="AS24" s="2" t="s">
        <v>17</v>
      </c>
      <c r="AT24" s="2" t="s">
        <v>18</v>
      </c>
      <c r="AU24" s="2" t="s">
        <v>116</v>
      </c>
      <c r="AV24" s="2" t="s">
        <v>19</v>
      </c>
      <c r="AW24" s="2" t="s">
        <v>117</v>
      </c>
      <c r="AX24" s="2" t="s">
        <v>118</v>
      </c>
      <c r="AY24" s="2" t="s">
        <v>119</v>
      </c>
      <c r="AZ24" s="2" t="s">
        <v>120</v>
      </c>
      <c r="BA24" s="2" t="s">
        <v>121</v>
      </c>
      <c r="BB24" s="2" t="s">
        <v>122</v>
      </c>
      <c r="BC24" s="2" t="s">
        <v>123</v>
      </c>
      <c r="BD24" s="5">
        <v>46283</v>
      </c>
      <c r="BE24" s="6">
        <v>46283.566342592603</v>
      </c>
      <c r="BF24" s="2">
        <v>0.99</v>
      </c>
      <c r="BG24" s="2" t="s">
        <v>113</v>
      </c>
    </row>
    <row r="25" spans="1:59" ht="43.5" hidden="1" x14ac:dyDescent="0.35">
      <c r="A25" s="2" t="s">
        <v>92</v>
      </c>
      <c r="B25" s="2" t="s">
        <v>21</v>
      </c>
      <c r="C25" s="2" t="s">
        <v>93</v>
      </c>
      <c r="D25" s="2" t="s">
        <v>94</v>
      </c>
      <c r="E25" s="2" t="s">
        <v>279</v>
      </c>
      <c r="F25" s="2" t="s">
        <v>280</v>
      </c>
      <c r="G25" s="2" t="s">
        <v>97</v>
      </c>
      <c r="H25" s="2" t="s">
        <v>281</v>
      </c>
      <c r="I25" s="2">
        <v>1</v>
      </c>
      <c r="J25" s="2" t="s">
        <v>99</v>
      </c>
      <c r="K25" s="2" t="s">
        <v>282</v>
      </c>
      <c r="L25" s="2">
        <v>1</v>
      </c>
      <c r="M25" s="5">
        <v>46280</v>
      </c>
      <c r="N25" s="6">
        <v>46280.425000000003</v>
      </c>
      <c r="O25" s="6">
        <v>46280.425092592603</v>
      </c>
      <c r="P25" s="2">
        <v>8</v>
      </c>
      <c r="Q25" s="2" t="s">
        <v>283</v>
      </c>
      <c r="R25" s="2" t="s">
        <v>102</v>
      </c>
      <c r="S25" s="2" t="s">
        <v>284</v>
      </c>
      <c r="T25" s="2" t="s">
        <v>285</v>
      </c>
      <c r="U25" s="2" t="s">
        <v>105</v>
      </c>
      <c r="V25" s="2" t="s">
        <v>97</v>
      </c>
      <c r="W25" s="2" t="s">
        <v>106</v>
      </c>
      <c r="X25" s="2" t="s">
        <v>107</v>
      </c>
      <c r="Y25" s="2" t="s">
        <v>108</v>
      </c>
      <c r="Z25" s="2" t="s">
        <v>4</v>
      </c>
      <c r="AA25" s="2" t="s">
        <v>109</v>
      </c>
      <c r="AB25" s="2" t="s">
        <v>110</v>
      </c>
      <c r="AC25" s="2" t="s">
        <v>111</v>
      </c>
      <c r="AD25" s="2">
        <v>12</v>
      </c>
      <c r="AE25" s="2">
        <v>0</v>
      </c>
      <c r="AF25" s="2">
        <v>0</v>
      </c>
      <c r="AG25" s="2" t="s">
        <v>112</v>
      </c>
      <c r="AH25" s="2" t="s">
        <v>113</v>
      </c>
      <c r="AI25" s="2"/>
      <c r="AJ25" s="2"/>
      <c r="AK25" s="2">
        <v>350</v>
      </c>
      <c r="AL25" s="2">
        <v>8</v>
      </c>
      <c r="AM25" s="2">
        <v>0</v>
      </c>
      <c r="AN25" s="2"/>
      <c r="AO25" s="2" t="s">
        <v>114</v>
      </c>
      <c r="AP25" s="2"/>
      <c r="AQ25" s="2" t="s">
        <v>286</v>
      </c>
      <c r="AR25" s="2" t="s">
        <v>23</v>
      </c>
      <c r="AS25" s="2" t="s">
        <v>24</v>
      </c>
      <c r="AT25" s="2" t="s">
        <v>25</v>
      </c>
      <c r="AU25" s="2" t="s">
        <v>287</v>
      </c>
      <c r="AV25" s="2" t="s">
        <v>26</v>
      </c>
      <c r="AW25" s="2" t="s">
        <v>288</v>
      </c>
      <c r="AX25" s="2" t="s">
        <v>289</v>
      </c>
      <c r="AY25" s="2" t="s">
        <v>119</v>
      </c>
      <c r="AZ25" s="2" t="s">
        <v>290</v>
      </c>
      <c r="BA25" s="2" t="s">
        <v>291</v>
      </c>
      <c r="BB25" s="2" t="s">
        <v>292</v>
      </c>
      <c r="BC25" s="2" t="s">
        <v>123</v>
      </c>
      <c r="BD25" s="5">
        <v>46280</v>
      </c>
      <c r="BE25" s="6">
        <v>46280.427870370368</v>
      </c>
      <c r="BF25" s="2">
        <v>0.99</v>
      </c>
      <c r="BG25" s="2" t="s">
        <v>113</v>
      </c>
    </row>
    <row r="26" spans="1:59" ht="43.5" hidden="1" x14ac:dyDescent="0.35">
      <c r="A26" s="2" t="s">
        <v>92</v>
      </c>
      <c r="B26" s="2" t="s">
        <v>21</v>
      </c>
      <c r="C26" s="2" t="s">
        <v>93</v>
      </c>
      <c r="D26" s="2" t="s">
        <v>94</v>
      </c>
      <c r="E26" s="2" t="s">
        <v>279</v>
      </c>
      <c r="F26" s="2" t="s">
        <v>293</v>
      </c>
      <c r="G26" s="2" t="s">
        <v>97</v>
      </c>
      <c r="H26" s="2" t="s">
        <v>294</v>
      </c>
      <c r="I26" s="2">
        <v>2</v>
      </c>
      <c r="J26" s="2" t="s">
        <v>126</v>
      </c>
      <c r="K26" s="2" t="s">
        <v>295</v>
      </c>
      <c r="L26" s="2">
        <v>2</v>
      </c>
      <c r="M26" s="5">
        <v>46280</v>
      </c>
      <c r="N26" s="6">
        <v>46280.425092592603</v>
      </c>
      <c r="O26" s="6">
        <v>46280.425254629627</v>
      </c>
      <c r="P26" s="2">
        <v>14</v>
      </c>
      <c r="Q26" s="2" t="s">
        <v>283</v>
      </c>
      <c r="R26" s="2" t="s">
        <v>102</v>
      </c>
      <c r="S26" s="2" t="s">
        <v>284</v>
      </c>
      <c r="T26" s="2" t="s">
        <v>285</v>
      </c>
      <c r="U26" s="2" t="s">
        <v>105</v>
      </c>
      <c r="V26" s="2" t="s">
        <v>97</v>
      </c>
      <c r="W26" s="2" t="s">
        <v>128</v>
      </c>
      <c r="X26" s="2" t="s">
        <v>129</v>
      </c>
      <c r="Y26" s="2" t="s">
        <v>130</v>
      </c>
      <c r="Z26" s="2" t="s">
        <v>131</v>
      </c>
      <c r="AA26" s="2" t="s">
        <v>132</v>
      </c>
      <c r="AB26" s="2" t="s">
        <v>110</v>
      </c>
      <c r="AC26" s="2" t="s">
        <v>133</v>
      </c>
      <c r="AD26" s="2">
        <v>0</v>
      </c>
      <c r="AE26" s="2">
        <v>0</v>
      </c>
      <c r="AF26" s="2">
        <v>2</v>
      </c>
      <c r="AG26" s="2" t="s">
        <v>112</v>
      </c>
      <c r="AH26" s="2" t="s">
        <v>112</v>
      </c>
      <c r="AI26" s="2"/>
      <c r="AJ26" s="2"/>
      <c r="AK26" s="2">
        <v>350</v>
      </c>
      <c r="AL26" s="2">
        <v>14</v>
      </c>
      <c r="AM26" s="2">
        <v>0</v>
      </c>
      <c r="AN26" s="2"/>
      <c r="AO26" s="2" t="s">
        <v>114</v>
      </c>
      <c r="AP26" s="2"/>
      <c r="AQ26" s="2" t="s">
        <v>286</v>
      </c>
      <c r="AR26" s="2" t="s">
        <v>23</v>
      </c>
      <c r="AS26" s="2" t="s">
        <v>24</v>
      </c>
      <c r="AT26" s="2" t="s">
        <v>25</v>
      </c>
      <c r="AU26" s="2" t="s">
        <v>287</v>
      </c>
      <c r="AV26" s="2" t="s">
        <v>26</v>
      </c>
      <c r="AW26" s="2" t="s">
        <v>288</v>
      </c>
      <c r="AX26" s="2" t="s">
        <v>289</v>
      </c>
      <c r="AY26" s="2" t="s">
        <v>119</v>
      </c>
      <c r="AZ26" s="2" t="s">
        <v>290</v>
      </c>
      <c r="BA26" s="2" t="s">
        <v>291</v>
      </c>
      <c r="BB26" s="2" t="s">
        <v>292</v>
      </c>
      <c r="BC26" s="2" t="s">
        <v>123</v>
      </c>
      <c r="BD26" s="5">
        <v>46280</v>
      </c>
      <c r="BE26" s="6">
        <v>46280.428032407413</v>
      </c>
      <c r="BF26" s="2">
        <v>0.99</v>
      </c>
      <c r="BG26" s="2" t="s">
        <v>113</v>
      </c>
    </row>
    <row r="27" spans="1:59" ht="43.5" hidden="1" x14ac:dyDescent="0.35">
      <c r="A27" s="2" t="s">
        <v>92</v>
      </c>
      <c r="B27" s="2" t="s">
        <v>21</v>
      </c>
      <c r="C27" s="2" t="s">
        <v>93</v>
      </c>
      <c r="D27" s="2" t="s">
        <v>94</v>
      </c>
      <c r="E27" s="2" t="s">
        <v>279</v>
      </c>
      <c r="F27" s="2" t="s">
        <v>296</v>
      </c>
      <c r="G27" s="2" t="s">
        <v>135</v>
      </c>
      <c r="H27" s="2" t="s">
        <v>297</v>
      </c>
      <c r="I27" s="2">
        <v>3</v>
      </c>
      <c r="J27" s="2" t="s">
        <v>137</v>
      </c>
      <c r="K27" s="2" t="s">
        <v>298</v>
      </c>
      <c r="L27" s="2">
        <v>3</v>
      </c>
      <c r="M27" s="5">
        <v>46280</v>
      </c>
      <c r="N27" s="6">
        <v>46280.425254629627</v>
      </c>
      <c r="O27" s="6">
        <v>46280.425312500003</v>
      </c>
      <c r="P27" s="2">
        <v>5</v>
      </c>
      <c r="Q27" s="2" t="s">
        <v>283</v>
      </c>
      <c r="R27" s="2" t="s">
        <v>102</v>
      </c>
      <c r="S27" s="2" t="s">
        <v>284</v>
      </c>
      <c r="T27" s="2" t="s">
        <v>285</v>
      </c>
      <c r="U27" s="2" t="s">
        <v>139</v>
      </c>
      <c r="V27" s="2" t="s">
        <v>135</v>
      </c>
      <c r="W27" s="2" t="s">
        <v>140</v>
      </c>
      <c r="X27" s="2" t="s">
        <v>141</v>
      </c>
      <c r="Y27" s="2" t="s">
        <v>142</v>
      </c>
      <c r="Z27" s="2" t="s">
        <v>143</v>
      </c>
      <c r="AA27" s="2" t="s">
        <v>144</v>
      </c>
      <c r="AB27" s="2" t="s">
        <v>110</v>
      </c>
      <c r="AC27" s="2" t="s">
        <v>145</v>
      </c>
      <c r="AD27" s="2">
        <v>0</v>
      </c>
      <c r="AE27" s="2">
        <v>1</v>
      </c>
      <c r="AF27" s="2">
        <v>0</v>
      </c>
      <c r="AG27" s="2" t="s">
        <v>112</v>
      </c>
      <c r="AH27" s="2" t="s">
        <v>112</v>
      </c>
      <c r="AI27" s="2"/>
      <c r="AJ27" s="2"/>
      <c r="AK27" s="2">
        <v>350</v>
      </c>
      <c r="AL27" s="2">
        <v>5</v>
      </c>
      <c r="AM27" s="2">
        <v>0</v>
      </c>
      <c r="AN27" s="2"/>
      <c r="AO27" s="2" t="s">
        <v>114</v>
      </c>
      <c r="AP27" s="2"/>
      <c r="AQ27" s="2" t="s">
        <v>286</v>
      </c>
      <c r="AR27" s="2" t="s">
        <v>23</v>
      </c>
      <c r="AS27" s="2" t="s">
        <v>24</v>
      </c>
      <c r="AT27" s="2" t="s">
        <v>25</v>
      </c>
      <c r="AU27" s="2" t="s">
        <v>287</v>
      </c>
      <c r="AV27" s="2" t="s">
        <v>26</v>
      </c>
      <c r="AW27" s="2" t="s">
        <v>288</v>
      </c>
      <c r="AX27" s="2" t="s">
        <v>289</v>
      </c>
      <c r="AY27" s="2" t="s">
        <v>119</v>
      </c>
      <c r="AZ27" s="2" t="s">
        <v>290</v>
      </c>
      <c r="BA27" s="2" t="s">
        <v>291</v>
      </c>
      <c r="BB27" s="2" t="s">
        <v>292</v>
      </c>
      <c r="BC27" s="2" t="s">
        <v>123</v>
      </c>
      <c r="BD27" s="5">
        <v>46280</v>
      </c>
      <c r="BE27" s="6">
        <v>46280.428090277783</v>
      </c>
      <c r="BF27" s="2">
        <v>0.99</v>
      </c>
      <c r="BG27" s="2" t="s">
        <v>113</v>
      </c>
    </row>
    <row r="28" spans="1:59" ht="43.5" hidden="1" x14ac:dyDescent="0.35">
      <c r="A28" s="2" t="s">
        <v>92</v>
      </c>
      <c r="B28" s="2" t="s">
        <v>21</v>
      </c>
      <c r="C28" s="2" t="s">
        <v>93</v>
      </c>
      <c r="D28" s="2" t="s">
        <v>94</v>
      </c>
      <c r="E28" s="2" t="s">
        <v>279</v>
      </c>
      <c r="F28" s="2" t="s">
        <v>299</v>
      </c>
      <c r="G28" s="2" t="s">
        <v>135</v>
      </c>
      <c r="H28" s="2" t="s">
        <v>300</v>
      </c>
      <c r="I28" s="2">
        <v>4</v>
      </c>
      <c r="J28" s="2" t="s">
        <v>148</v>
      </c>
      <c r="K28" s="2" t="s">
        <v>301</v>
      </c>
      <c r="L28" s="2">
        <v>4</v>
      </c>
      <c r="M28" s="5">
        <v>46280</v>
      </c>
      <c r="N28" s="6">
        <v>46280.425312500003</v>
      </c>
      <c r="O28" s="6">
        <v>46280.425451388888</v>
      </c>
      <c r="P28" s="2">
        <v>12</v>
      </c>
      <c r="Q28" s="2" t="s">
        <v>283</v>
      </c>
      <c r="R28" s="2" t="s">
        <v>102</v>
      </c>
      <c r="S28" s="2" t="s">
        <v>284</v>
      </c>
      <c r="T28" s="2" t="s">
        <v>285</v>
      </c>
      <c r="U28" s="2" t="s">
        <v>139</v>
      </c>
      <c r="V28" s="2" t="s">
        <v>135</v>
      </c>
      <c r="W28" s="2" t="s">
        <v>140</v>
      </c>
      <c r="X28" s="2" t="s">
        <v>141</v>
      </c>
      <c r="Y28" s="2" t="s">
        <v>108</v>
      </c>
      <c r="Z28" s="2" t="s">
        <v>150</v>
      </c>
      <c r="AA28" s="2" t="s">
        <v>109</v>
      </c>
      <c r="AB28" s="2" t="s">
        <v>110</v>
      </c>
      <c r="AC28" s="2" t="s">
        <v>111</v>
      </c>
      <c r="AD28" s="2">
        <v>12</v>
      </c>
      <c r="AE28" s="2">
        <v>0</v>
      </c>
      <c r="AF28" s="2">
        <v>0</v>
      </c>
      <c r="AG28" s="2" t="s">
        <v>112</v>
      </c>
      <c r="AH28" s="2" t="s">
        <v>113</v>
      </c>
      <c r="AI28" s="2"/>
      <c r="AJ28" s="2"/>
      <c r="AK28" s="2">
        <v>350</v>
      </c>
      <c r="AL28" s="2">
        <v>12</v>
      </c>
      <c r="AM28" s="2">
        <v>0</v>
      </c>
      <c r="AN28" s="2"/>
      <c r="AO28" s="2" t="s">
        <v>114</v>
      </c>
      <c r="AP28" s="2"/>
      <c r="AQ28" s="2" t="s">
        <v>286</v>
      </c>
      <c r="AR28" s="2" t="s">
        <v>23</v>
      </c>
      <c r="AS28" s="2" t="s">
        <v>24</v>
      </c>
      <c r="AT28" s="2" t="s">
        <v>25</v>
      </c>
      <c r="AU28" s="2" t="s">
        <v>287</v>
      </c>
      <c r="AV28" s="2" t="s">
        <v>26</v>
      </c>
      <c r="AW28" s="2" t="s">
        <v>288</v>
      </c>
      <c r="AX28" s="2" t="s">
        <v>289</v>
      </c>
      <c r="AY28" s="2" t="s">
        <v>119</v>
      </c>
      <c r="AZ28" s="2" t="s">
        <v>290</v>
      </c>
      <c r="BA28" s="2" t="s">
        <v>291</v>
      </c>
      <c r="BB28" s="2" t="s">
        <v>292</v>
      </c>
      <c r="BC28" s="2" t="s">
        <v>123</v>
      </c>
      <c r="BD28" s="5">
        <v>46280</v>
      </c>
      <c r="BE28" s="6">
        <v>46280.428229166668</v>
      </c>
      <c r="BF28" s="2">
        <v>0.99</v>
      </c>
      <c r="BG28" s="2" t="s">
        <v>113</v>
      </c>
    </row>
    <row r="29" spans="1:59" ht="43.5" hidden="1" x14ac:dyDescent="0.35">
      <c r="A29" s="2" t="s">
        <v>92</v>
      </c>
      <c r="B29" s="2" t="s">
        <v>21</v>
      </c>
      <c r="C29" s="2" t="s">
        <v>93</v>
      </c>
      <c r="D29" s="2" t="s">
        <v>94</v>
      </c>
      <c r="E29" s="2" t="s">
        <v>279</v>
      </c>
      <c r="F29" s="2" t="s">
        <v>302</v>
      </c>
      <c r="G29" s="2" t="s">
        <v>135</v>
      </c>
      <c r="H29" s="2" t="s">
        <v>303</v>
      </c>
      <c r="I29" s="2">
        <v>5</v>
      </c>
      <c r="J29" s="2" t="s">
        <v>153</v>
      </c>
      <c r="K29" s="2" t="s">
        <v>304</v>
      </c>
      <c r="L29" s="2">
        <v>5</v>
      </c>
      <c r="M29" s="5">
        <v>46280</v>
      </c>
      <c r="N29" s="6">
        <v>46280.425451388888</v>
      </c>
      <c r="O29" s="6">
        <v>46280.425729166673</v>
      </c>
      <c r="P29" s="2">
        <v>24</v>
      </c>
      <c r="Q29" s="2" t="s">
        <v>283</v>
      </c>
      <c r="R29" s="2" t="s">
        <v>102</v>
      </c>
      <c r="S29" s="2" t="s">
        <v>284</v>
      </c>
      <c r="T29" s="2" t="s">
        <v>285</v>
      </c>
      <c r="U29" s="2" t="s">
        <v>139</v>
      </c>
      <c r="V29" s="2" t="s">
        <v>135</v>
      </c>
      <c r="W29" s="2" t="s">
        <v>155</v>
      </c>
      <c r="X29" s="2" t="s">
        <v>156</v>
      </c>
      <c r="Y29" s="2" t="s">
        <v>130</v>
      </c>
      <c r="Z29" s="2" t="s">
        <v>157</v>
      </c>
      <c r="AA29" s="2" t="s">
        <v>158</v>
      </c>
      <c r="AB29" s="2" t="s">
        <v>159</v>
      </c>
      <c r="AC29" s="2" t="s">
        <v>133</v>
      </c>
      <c r="AD29" s="2">
        <v>0</v>
      </c>
      <c r="AE29" s="2">
        <v>0</v>
      </c>
      <c r="AF29" s="2">
        <v>0</v>
      </c>
      <c r="AG29" s="2" t="s">
        <v>112</v>
      </c>
      <c r="AH29" s="2" t="s">
        <v>112</v>
      </c>
      <c r="AI29" s="2"/>
      <c r="AJ29" s="2"/>
      <c r="AK29" s="2">
        <v>350</v>
      </c>
      <c r="AL29" s="2">
        <v>12</v>
      </c>
      <c r="AM29" s="2">
        <v>12</v>
      </c>
      <c r="AN29" s="2"/>
      <c r="AO29" s="2" t="s">
        <v>114</v>
      </c>
      <c r="AP29" s="2"/>
      <c r="AQ29" s="2" t="s">
        <v>286</v>
      </c>
      <c r="AR29" s="2" t="s">
        <v>23</v>
      </c>
      <c r="AS29" s="2" t="s">
        <v>24</v>
      </c>
      <c r="AT29" s="2" t="s">
        <v>25</v>
      </c>
      <c r="AU29" s="2" t="s">
        <v>287</v>
      </c>
      <c r="AV29" s="2" t="s">
        <v>26</v>
      </c>
      <c r="AW29" s="2" t="s">
        <v>288</v>
      </c>
      <c r="AX29" s="2" t="s">
        <v>289</v>
      </c>
      <c r="AY29" s="2" t="s">
        <v>119</v>
      </c>
      <c r="AZ29" s="2" t="s">
        <v>290</v>
      </c>
      <c r="BA29" s="2" t="s">
        <v>291</v>
      </c>
      <c r="BB29" s="2" t="s">
        <v>292</v>
      </c>
      <c r="BC29" s="2" t="s">
        <v>123</v>
      </c>
      <c r="BD29" s="5">
        <v>46280</v>
      </c>
      <c r="BE29" s="6">
        <v>46280.428506944438</v>
      </c>
      <c r="BF29" s="2">
        <v>0.99</v>
      </c>
      <c r="BG29" s="2" t="s">
        <v>113</v>
      </c>
    </row>
    <row r="30" spans="1:59" ht="43.5" hidden="1" x14ac:dyDescent="0.35">
      <c r="A30" s="2" t="s">
        <v>92</v>
      </c>
      <c r="B30" s="2" t="s">
        <v>21</v>
      </c>
      <c r="C30" s="2" t="s">
        <v>93</v>
      </c>
      <c r="D30" s="2" t="s">
        <v>94</v>
      </c>
      <c r="E30" s="2" t="s">
        <v>279</v>
      </c>
      <c r="F30" s="2" t="s">
        <v>305</v>
      </c>
      <c r="G30" s="2" t="s">
        <v>161</v>
      </c>
      <c r="H30" s="2" t="s">
        <v>306</v>
      </c>
      <c r="I30" s="2">
        <v>6</v>
      </c>
      <c r="J30" s="2" t="s">
        <v>163</v>
      </c>
      <c r="K30" s="2" t="s">
        <v>307</v>
      </c>
      <c r="L30" s="2">
        <v>6</v>
      </c>
      <c r="M30" s="5">
        <v>46280</v>
      </c>
      <c r="N30" s="6">
        <v>46280.425729166673</v>
      </c>
      <c r="O30" s="6">
        <v>46280.425798611112</v>
      </c>
      <c r="P30" s="2">
        <v>6</v>
      </c>
      <c r="Q30" s="2" t="s">
        <v>283</v>
      </c>
      <c r="R30" s="2" t="s">
        <v>102</v>
      </c>
      <c r="S30" s="2" t="s">
        <v>284</v>
      </c>
      <c r="T30" s="2" t="s">
        <v>285</v>
      </c>
      <c r="U30" s="2" t="s">
        <v>165</v>
      </c>
      <c r="V30" s="2" t="s">
        <v>161</v>
      </c>
      <c r="W30" s="2" t="s">
        <v>166</v>
      </c>
      <c r="X30" s="2" t="s">
        <v>167</v>
      </c>
      <c r="Y30" s="2" t="s">
        <v>142</v>
      </c>
      <c r="Z30" s="2" t="s">
        <v>168</v>
      </c>
      <c r="AA30" s="2" t="s">
        <v>144</v>
      </c>
      <c r="AB30" s="2" t="s">
        <v>110</v>
      </c>
      <c r="AC30" s="2" t="s">
        <v>145</v>
      </c>
      <c r="AD30" s="2">
        <v>0</v>
      </c>
      <c r="AE30" s="2">
        <v>1</v>
      </c>
      <c r="AF30" s="2">
        <v>0</v>
      </c>
      <c r="AG30" s="2" t="s">
        <v>112</v>
      </c>
      <c r="AH30" s="2" t="s">
        <v>112</v>
      </c>
      <c r="AI30" s="2"/>
      <c r="AJ30" s="2"/>
      <c r="AK30" s="2">
        <v>350</v>
      </c>
      <c r="AL30" s="2">
        <v>6</v>
      </c>
      <c r="AM30" s="2">
        <v>0</v>
      </c>
      <c r="AN30" s="2"/>
      <c r="AO30" s="2" t="s">
        <v>114</v>
      </c>
      <c r="AP30" s="2"/>
      <c r="AQ30" s="2" t="s">
        <v>286</v>
      </c>
      <c r="AR30" s="2" t="s">
        <v>23</v>
      </c>
      <c r="AS30" s="2" t="s">
        <v>24</v>
      </c>
      <c r="AT30" s="2" t="s">
        <v>25</v>
      </c>
      <c r="AU30" s="2" t="s">
        <v>287</v>
      </c>
      <c r="AV30" s="2" t="s">
        <v>26</v>
      </c>
      <c r="AW30" s="2" t="s">
        <v>288</v>
      </c>
      <c r="AX30" s="2" t="s">
        <v>289</v>
      </c>
      <c r="AY30" s="2" t="s">
        <v>119</v>
      </c>
      <c r="AZ30" s="2" t="s">
        <v>290</v>
      </c>
      <c r="BA30" s="2" t="s">
        <v>291</v>
      </c>
      <c r="BB30" s="2" t="s">
        <v>292</v>
      </c>
      <c r="BC30" s="2" t="s">
        <v>123</v>
      </c>
      <c r="BD30" s="5">
        <v>46280</v>
      </c>
      <c r="BE30" s="6">
        <v>46280.428576388891</v>
      </c>
      <c r="BF30" s="2">
        <v>0.99</v>
      </c>
      <c r="BG30" s="2" t="s">
        <v>113</v>
      </c>
    </row>
    <row r="31" spans="1:59" ht="43.5" hidden="1" x14ac:dyDescent="0.35">
      <c r="A31" s="2" t="s">
        <v>92</v>
      </c>
      <c r="B31" s="2" t="s">
        <v>21</v>
      </c>
      <c r="C31" s="2" t="s">
        <v>93</v>
      </c>
      <c r="D31" s="2" t="s">
        <v>94</v>
      </c>
      <c r="E31" s="2" t="s">
        <v>279</v>
      </c>
      <c r="F31" s="2" t="s">
        <v>308</v>
      </c>
      <c r="G31" s="2" t="s">
        <v>161</v>
      </c>
      <c r="H31" s="2" t="s">
        <v>309</v>
      </c>
      <c r="I31" s="2">
        <v>7</v>
      </c>
      <c r="J31" s="2" t="s">
        <v>171</v>
      </c>
      <c r="K31" s="2" t="s">
        <v>310</v>
      </c>
      <c r="L31" s="2">
        <v>7</v>
      </c>
      <c r="M31" s="5">
        <v>46280</v>
      </c>
      <c r="N31" s="6">
        <v>46280.425798611112</v>
      </c>
      <c r="O31" s="6">
        <v>46280.425983796304</v>
      </c>
      <c r="P31" s="2">
        <v>16</v>
      </c>
      <c r="Q31" s="2" t="s">
        <v>283</v>
      </c>
      <c r="R31" s="2" t="s">
        <v>102</v>
      </c>
      <c r="S31" s="2" t="s">
        <v>284</v>
      </c>
      <c r="T31" s="2" t="s">
        <v>285</v>
      </c>
      <c r="U31" s="2" t="s">
        <v>165</v>
      </c>
      <c r="V31" s="2" t="s">
        <v>161</v>
      </c>
      <c r="W31" s="2" t="s">
        <v>173</v>
      </c>
      <c r="X31" s="2" t="s">
        <v>174</v>
      </c>
      <c r="Y31" s="2" t="s">
        <v>142</v>
      </c>
      <c r="Z31" s="2" t="s">
        <v>175</v>
      </c>
      <c r="AA31" s="2" t="s">
        <v>144</v>
      </c>
      <c r="AB31" s="2" t="s">
        <v>110</v>
      </c>
      <c r="AC31" s="2" t="s">
        <v>145</v>
      </c>
      <c r="AD31" s="2">
        <v>0</v>
      </c>
      <c r="AE31" s="2">
        <v>2</v>
      </c>
      <c r="AF31" s="2">
        <v>0</v>
      </c>
      <c r="AG31" s="2" t="s">
        <v>112</v>
      </c>
      <c r="AH31" s="2" t="s">
        <v>112</v>
      </c>
      <c r="AI31" s="2"/>
      <c r="AJ31" s="2"/>
      <c r="AK31" s="2">
        <v>350</v>
      </c>
      <c r="AL31" s="2">
        <v>16</v>
      </c>
      <c r="AM31" s="2">
        <v>0</v>
      </c>
      <c r="AN31" s="2"/>
      <c r="AO31" s="2" t="s">
        <v>114</v>
      </c>
      <c r="AP31" s="2"/>
      <c r="AQ31" s="2" t="s">
        <v>286</v>
      </c>
      <c r="AR31" s="2" t="s">
        <v>23</v>
      </c>
      <c r="AS31" s="2" t="s">
        <v>24</v>
      </c>
      <c r="AT31" s="2" t="s">
        <v>25</v>
      </c>
      <c r="AU31" s="2" t="s">
        <v>287</v>
      </c>
      <c r="AV31" s="2" t="s">
        <v>26</v>
      </c>
      <c r="AW31" s="2" t="s">
        <v>288</v>
      </c>
      <c r="AX31" s="2" t="s">
        <v>289</v>
      </c>
      <c r="AY31" s="2" t="s">
        <v>119</v>
      </c>
      <c r="AZ31" s="2" t="s">
        <v>290</v>
      </c>
      <c r="BA31" s="2" t="s">
        <v>291</v>
      </c>
      <c r="BB31" s="2" t="s">
        <v>292</v>
      </c>
      <c r="BC31" s="2" t="s">
        <v>123</v>
      </c>
      <c r="BD31" s="5">
        <v>46280</v>
      </c>
      <c r="BE31" s="6">
        <v>46280.428761574083</v>
      </c>
      <c r="BF31" s="2">
        <v>0.99</v>
      </c>
      <c r="BG31" s="2" t="s">
        <v>113</v>
      </c>
    </row>
    <row r="32" spans="1:59" ht="43.5" hidden="1" x14ac:dyDescent="0.35">
      <c r="A32" s="2" t="s">
        <v>92</v>
      </c>
      <c r="B32" s="2" t="s">
        <v>21</v>
      </c>
      <c r="C32" s="2" t="s">
        <v>93</v>
      </c>
      <c r="D32" s="2" t="s">
        <v>94</v>
      </c>
      <c r="E32" s="2" t="s">
        <v>279</v>
      </c>
      <c r="F32" s="2" t="s">
        <v>311</v>
      </c>
      <c r="G32" s="2" t="s">
        <v>161</v>
      </c>
      <c r="H32" s="2" t="s">
        <v>312</v>
      </c>
      <c r="I32" s="2">
        <v>8</v>
      </c>
      <c r="J32" s="2" t="s">
        <v>178</v>
      </c>
      <c r="K32" s="2" t="s">
        <v>313</v>
      </c>
      <c r="L32" s="2">
        <v>8</v>
      </c>
      <c r="M32" s="5">
        <v>46280</v>
      </c>
      <c r="N32" s="6">
        <v>46280.425983796304</v>
      </c>
      <c r="O32" s="6">
        <v>46280.426215277781</v>
      </c>
      <c r="P32" s="2">
        <v>20</v>
      </c>
      <c r="Q32" s="2" t="s">
        <v>283</v>
      </c>
      <c r="R32" s="2" t="s">
        <v>102</v>
      </c>
      <c r="S32" s="2" t="s">
        <v>284</v>
      </c>
      <c r="T32" s="2" t="s">
        <v>285</v>
      </c>
      <c r="U32" s="2" t="s">
        <v>165</v>
      </c>
      <c r="V32" s="2" t="s">
        <v>161</v>
      </c>
      <c r="W32" s="2" t="s">
        <v>180</v>
      </c>
      <c r="X32" s="2" t="s">
        <v>181</v>
      </c>
      <c r="Y32" s="2" t="s">
        <v>108</v>
      </c>
      <c r="Z32" s="2" t="s">
        <v>182</v>
      </c>
      <c r="AA32" s="2" t="s">
        <v>109</v>
      </c>
      <c r="AB32" s="2" t="s">
        <v>110</v>
      </c>
      <c r="AC32" s="2" t="s">
        <v>111</v>
      </c>
      <c r="AD32" s="2">
        <v>16</v>
      </c>
      <c r="AE32" s="2">
        <v>2</v>
      </c>
      <c r="AF32" s="2">
        <v>0</v>
      </c>
      <c r="AG32" s="2" t="s">
        <v>112</v>
      </c>
      <c r="AH32" s="2" t="s">
        <v>113</v>
      </c>
      <c r="AI32" s="2"/>
      <c r="AJ32" s="2"/>
      <c r="AK32" s="2">
        <v>350</v>
      </c>
      <c r="AL32" s="2">
        <v>20</v>
      </c>
      <c r="AM32" s="2">
        <v>0</v>
      </c>
      <c r="AN32" s="2"/>
      <c r="AO32" s="2" t="s">
        <v>114</v>
      </c>
      <c r="AP32" s="2"/>
      <c r="AQ32" s="2" t="s">
        <v>286</v>
      </c>
      <c r="AR32" s="2" t="s">
        <v>23</v>
      </c>
      <c r="AS32" s="2" t="s">
        <v>24</v>
      </c>
      <c r="AT32" s="2" t="s">
        <v>25</v>
      </c>
      <c r="AU32" s="2" t="s">
        <v>287</v>
      </c>
      <c r="AV32" s="2" t="s">
        <v>26</v>
      </c>
      <c r="AW32" s="2" t="s">
        <v>288</v>
      </c>
      <c r="AX32" s="2" t="s">
        <v>289</v>
      </c>
      <c r="AY32" s="2" t="s">
        <v>119</v>
      </c>
      <c r="AZ32" s="2" t="s">
        <v>290</v>
      </c>
      <c r="BA32" s="2" t="s">
        <v>291</v>
      </c>
      <c r="BB32" s="2" t="s">
        <v>292</v>
      </c>
      <c r="BC32" s="2" t="s">
        <v>123</v>
      </c>
      <c r="BD32" s="5">
        <v>46280</v>
      </c>
      <c r="BE32" s="6">
        <v>46280.428993055553</v>
      </c>
      <c r="BF32" s="2">
        <v>0.99</v>
      </c>
      <c r="BG32" s="2" t="s">
        <v>113</v>
      </c>
    </row>
    <row r="33" spans="1:59" ht="43.5" hidden="1" x14ac:dyDescent="0.35">
      <c r="A33" s="2" t="s">
        <v>92</v>
      </c>
      <c r="B33" s="2" t="s">
        <v>21</v>
      </c>
      <c r="C33" s="2" t="s">
        <v>93</v>
      </c>
      <c r="D33" s="2" t="s">
        <v>94</v>
      </c>
      <c r="E33" s="2" t="s">
        <v>279</v>
      </c>
      <c r="F33" s="2" t="s">
        <v>314</v>
      </c>
      <c r="G33" s="2" t="s">
        <v>184</v>
      </c>
      <c r="H33" s="2" t="s">
        <v>315</v>
      </c>
      <c r="I33" s="2">
        <v>9</v>
      </c>
      <c r="J33" s="2" t="s">
        <v>186</v>
      </c>
      <c r="K33" s="2" t="s">
        <v>316</v>
      </c>
      <c r="L33" s="2">
        <v>9</v>
      </c>
      <c r="M33" s="5">
        <v>46283</v>
      </c>
      <c r="N33" s="6">
        <v>46283.553344907406</v>
      </c>
      <c r="O33" s="6">
        <v>46283.553460648152</v>
      </c>
      <c r="P33" s="2">
        <v>10</v>
      </c>
      <c r="Q33" s="2" t="s">
        <v>283</v>
      </c>
      <c r="R33" s="2" t="s">
        <v>102</v>
      </c>
      <c r="S33" s="2" t="s">
        <v>284</v>
      </c>
      <c r="T33" s="2" t="s">
        <v>285</v>
      </c>
      <c r="U33" s="2" t="s">
        <v>188</v>
      </c>
      <c r="V33" s="2" t="s">
        <v>184</v>
      </c>
      <c r="W33" s="2" t="s">
        <v>189</v>
      </c>
      <c r="X33" s="2" t="s">
        <v>190</v>
      </c>
      <c r="Y33" s="2" t="s">
        <v>108</v>
      </c>
      <c r="Z33" s="2" t="s">
        <v>5</v>
      </c>
      <c r="AA33" s="2" t="s">
        <v>109</v>
      </c>
      <c r="AB33" s="2" t="s">
        <v>110</v>
      </c>
      <c r="AC33" s="2" t="s">
        <v>111</v>
      </c>
      <c r="AD33" s="2">
        <v>14</v>
      </c>
      <c r="AE33" s="2">
        <v>0</v>
      </c>
      <c r="AF33" s="2">
        <v>0</v>
      </c>
      <c r="AG33" s="2" t="s">
        <v>112</v>
      </c>
      <c r="AH33" s="2" t="s">
        <v>113</v>
      </c>
      <c r="AI33" s="2"/>
      <c r="AJ33" s="2"/>
      <c r="AK33" s="2">
        <v>350</v>
      </c>
      <c r="AL33" s="2">
        <v>10</v>
      </c>
      <c r="AM33" s="2">
        <v>0</v>
      </c>
      <c r="AN33" s="2"/>
      <c r="AO33" s="2" t="s">
        <v>114</v>
      </c>
      <c r="AP33" s="2"/>
      <c r="AQ33" s="2" t="s">
        <v>286</v>
      </c>
      <c r="AR33" s="2" t="s">
        <v>23</v>
      </c>
      <c r="AS33" s="2" t="s">
        <v>24</v>
      </c>
      <c r="AT33" s="2" t="s">
        <v>25</v>
      </c>
      <c r="AU33" s="2" t="s">
        <v>287</v>
      </c>
      <c r="AV33" s="2" t="s">
        <v>26</v>
      </c>
      <c r="AW33" s="2" t="s">
        <v>288</v>
      </c>
      <c r="AX33" s="2" t="s">
        <v>289</v>
      </c>
      <c r="AY33" s="2" t="s">
        <v>119</v>
      </c>
      <c r="AZ33" s="2" t="s">
        <v>290</v>
      </c>
      <c r="BA33" s="2" t="s">
        <v>291</v>
      </c>
      <c r="BB33" s="2" t="s">
        <v>292</v>
      </c>
      <c r="BC33" s="2" t="s">
        <v>123</v>
      </c>
      <c r="BD33" s="5">
        <v>46283</v>
      </c>
      <c r="BE33" s="6">
        <v>46283.556238425917</v>
      </c>
      <c r="BF33" s="2">
        <v>0.99</v>
      </c>
      <c r="BG33" s="2" t="s">
        <v>113</v>
      </c>
    </row>
    <row r="34" spans="1:59" ht="43.5" hidden="1" x14ac:dyDescent="0.35">
      <c r="A34" s="2" t="s">
        <v>92</v>
      </c>
      <c r="B34" s="2" t="s">
        <v>21</v>
      </c>
      <c r="C34" s="2" t="s">
        <v>93</v>
      </c>
      <c r="D34" s="2" t="s">
        <v>94</v>
      </c>
      <c r="E34" s="2" t="s">
        <v>279</v>
      </c>
      <c r="F34" s="2" t="s">
        <v>317</v>
      </c>
      <c r="G34" s="2" t="s">
        <v>184</v>
      </c>
      <c r="H34" s="2" t="s">
        <v>318</v>
      </c>
      <c r="I34" s="2">
        <v>10</v>
      </c>
      <c r="J34" s="2" t="s">
        <v>193</v>
      </c>
      <c r="K34" s="2" t="s">
        <v>319</v>
      </c>
      <c r="L34" s="2">
        <v>10</v>
      </c>
      <c r="M34" s="5">
        <v>46283</v>
      </c>
      <c r="N34" s="6">
        <v>46283.553460648152</v>
      </c>
      <c r="O34" s="6">
        <v>46283.553599537037</v>
      </c>
      <c r="P34" s="2">
        <v>12</v>
      </c>
      <c r="Q34" s="2" t="s">
        <v>283</v>
      </c>
      <c r="R34" s="2" t="s">
        <v>102</v>
      </c>
      <c r="S34" s="2" t="s">
        <v>284</v>
      </c>
      <c r="T34" s="2" t="s">
        <v>285</v>
      </c>
      <c r="U34" s="2" t="s">
        <v>188</v>
      </c>
      <c r="V34" s="2" t="s">
        <v>184</v>
      </c>
      <c r="W34" s="2" t="s">
        <v>195</v>
      </c>
      <c r="X34" s="2" t="s">
        <v>196</v>
      </c>
      <c r="Y34" s="2" t="s">
        <v>142</v>
      </c>
      <c r="Z34" s="2" t="s">
        <v>197</v>
      </c>
      <c r="AA34" s="2" t="s">
        <v>144</v>
      </c>
      <c r="AB34" s="2" t="s">
        <v>110</v>
      </c>
      <c r="AC34" s="2" t="s">
        <v>145</v>
      </c>
      <c r="AD34" s="2">
        <v>0</v>
      </c>
      <c r="AE34" s="2">
        <v>2</v>
      </c>
      <c r="AF34" s="2">
        <v>0</v>
      </c>
      <c r="AG34" s="2" t="s">
        <v>112</v>
      </c>
      <c r="AH34" s="2" t="s">
        <v>112</v>
      </c>
      <c r="AI34" s="2"/>
      <c r="AJ34" s="2"/>
      <c r="AK34" s="2">
        <v>350</v>
      </c>
      <c r="AL34" s="2">
        <v>12</v>
      </c>
      <c r="AM34" s="2">
        <v>0</v>
      </c>
      <c r="AN34" s="2"/>
      <c r="AO34" s="2" t="s">
        <v>114</v>
      </c>
      <c r="AP34" s="2"/>
      <c r="AQ34" s="2" t="s">
        <v>286</v>
      </c>
      <c r="AR34" s="2" t="s">
        <v>23</v>
      </c>
      <c r="AS34" s="2" t="s">
        <v>24</v>
      </c>
      <c r="AT34" s="2" t="s">
        <v>25</v>
      </c>
      <c r="AU34" s="2" t="s">
        <v>287</v>
      </c>
      <c r="AV34" s="2" t="s">
        <v>26</v>
      </c>
      <c r="AW34" s="2" t="s">
        <v>288</v>
      </c>
      <c r="AX34" s="2" t="s">
        <v>289</v>
      </c>
      <c r="AY34" s="2" t="s">
        <v>119</v>
      </c>
      <c r="AZ34" s="2" t="s">
        <v>290</v>
      </c>
      <c r="BA34" s="2" t="s">
        <v>291</v>
      </c>
      <c r="BB34" s="2" t="s">
        <v>292</v>
      </c>
      <c r="BC34" s="2" t="s">
        <v>123</v>
      </c>
      <c r="BD34" s="5">
        <v>46283</v>
      </c>
      <c r="BE34" s="6">
        <v>46283.556377314817</v>
      </c>
      <c r="BF34" s="2">
        <v>0.99</v>
      </c>
      <c r="BG34" s="2" t="s">
        <v>113</v>
      </c>
    </row>
    <row r="35" spans="1:59" ht="43.5" hidden="1" x14ac:dyDescent="0.35">
      <c r="A35" s="2" t="s">
        <v>92</v>
      </c>
      <c r="B35" s="2" t="s">
        <v>21</v>
      </c>
      <c r="C35" s="2" t="s">
        <v>93</v>
      </c>
      <c r="D35" s="2" t="s">
        <v>94</v>
      </c>
      <c r="E35" s="2" t="s">
        <v>279</v>
      </c>
      <c r="F35" s="2" t="s">
        <v>320</v>
      </c>
      <c r="G35" s="2" t="s">
        <v>199</v>
      </c>
      <c r="H35" s="2" t="s">
        <v>321</v>
      </c>
      <c r="I35" s="2">
        <v>11</v>
      </c>
      <c r="J35" s="2" t="s">
        <v>201</v>
      </c>
      <c r="K35" s="2" t="s">
        <v>322</v>
      </c>
      <c r="L35" s="2">
        <v>11</v>
      </c>
      <c r="M35" s="5">
        <v>46283</v>
      </c>
      <c r="N35" s="6">
        <v>46283.553599537037</v>
      </c>
      <c r="O35" s="6">
        <v>46283.55369212963</v>
      </c>
      <c r="P35" s="2">
        <v>8</v>
      </c>
      <c r="Q35" s="2" t="s">
        <v>283</v>
      </c>
      <c r="R35" s="2" t="s">
        <v>102</v>
      </c>
      <c r="S35" s="2" t="s">
        <v>284</v>
      </c>
      <c r="T35" s="2" t="s">
        <v>285</v>
      </c>
      <c r="U35" s="2" t="s">
        <v>188</v>
      </c>
      <c r="V35" s="2" t="s">
        <v>199</v>
      </c>
      <c r="W35" s="2" t="s">
        <v>203</v>
      </c>
      <c r="X35" s="2" t="s">
        <v>204</v>
      </c>
      <c r="Y35" s="2" t="s">
        <v>142</v>
      </c>
      <c r="Z35" s="2" t="s">
        <v>205</v>
      </c>
      <c r="AA35" s="2" t="s">
        <v>144</v>
      </c>
      <c r="AB35" s="2" t="s">
        <v>110</v>
      </c>
      <c r="AC35" s="2" t="s">
        <v>145</v>
      </c>
      <c r="AD35" s="2">
        <v>0</v>
      </c>
      <c r="AE35" s="2">
        <v>1</v>
      </c>
      <c r="AF35" s="2">
        <v>0</v>
      </c>
      <c r="AG35" s="2" t="s">
        <v>112</v>
      </c>
      <c r="AH35" s="2" t="s">
        <v>112</v>
      </c>
      <c r="AI35" s="2"/>
      <c r="AJ35" s="2"/>
      <c r="AK35" s="2">
        <v>350</v>
      </c>
      <c r="AL35" s="2">
        <v>8</v>
      </c>
      <c r="AM35" s="2">
        <v>0</v>
      </c>
      <c r="AN35" s="2"/>
      <c r="AO35" s="2" t="s">
        <v>114</v>
      </c>
      <c r="AP35" s="2"/>
      <c r="AQ35" s="2" t="s">
        <v>286</v>
      </c>
      <c r="AR35" s="2" t="s">
        <v>23</v>
      </c>
      <c r="AS35" s="2" t="s">
        <v>24</v>
      </c>
      <c r="AT35" s="2" t="s">
        <v>25</v>
      </c>
      <c r="AU35" s="2" t="s">
        <v>287</v>
      </c>
      <c r="AV35" s="2" t="s">
        <v>26</v>
      </c>
      <c r="AW35" s="2" t="s">
        <v>288</v>
      </c>
      <c r="AX35" s="2" t="s">
        <v>289</v>
      </c>
      <c r="AY35" s="2" t="s">
        <v>119</v>
      </c>
      <c r="AZ35" s="2" t="s">
        <v>290</v>
      </c>
      <c r="BA35" s="2" t="s">
        <v>291</v>
      </c>
      <c r="BB35" s="2" t="s">
        <v>292</v>
      </c>
      <c r="BC35" s="2" t="s">
        <v>123</v>
      </c>
      <c r="BD35" s="5">
        <v>46283</v>
      </c>
      <c r="BE35" s="6">
        <v>46283.556469907409</v>
      </c>
      <c r="BF35" s="2">
        <v>0.99</v>
      </c>
      <c r="BG35" s="2" t="s">
        <v>113</v>
      </c>
    </row>
    <row r="36" spans="1:59" ht="43.5" hidden="1" x14ac:dyDescent="0.35">
      <c r="A36" s="2" t="s">
        <v>92</v>
      </c>
      <c r="B36" s="2" t="s">
        <v>21</v>
      </c>
      <c r="C36" s="2" t="s">
        <v>93</v>
      </c>
      <c r="D36" s="2" t="s">
        <v>94</v>
      </c>
      <c r="E36" s="2" t="s">
        <v>279</v>
      </c>
      <c r="F36" s="2" t="s">
        <v>323</v>
      </c>
      <c r="G36" s="2" t="s">
        <v>199</v>
      </c>
      <c r="H36" s="2" t="s">
        <v>324</v>
      </c>
      <c r="I36" s="2">
        <v>12</v>
      </c>
      <c r="J36" s="2" t="s">
        <v>208</v>
      </c>
      <c r="K36" s="2" t="s">
        <v>325</v>
      </c>
      <c r="L36" s="2">
        <v>12</v>
      </c>
      <c r="M36" s="5">
        <v>46283</v>
      </c>
      <c r="N36" s="6">
        <v>46283.553668981483</v>
      </c>
      <c r="O36" s="6">
        <v>46283.554432870369</v>
      </c>
      <c r="P36" s="2">
        <v>66</v>
      </c>
      <c r="Q36" s="2" t="s">
        <v>283</v>
      </c>
      <c r="R36" s="2" t="s">
        <v>102</v>
      </c>
      <c r="S36" s="2" t="s">
        <v>284</v>
      </c>
      <c r="T36" s="2" t="s">
        <v>285</v>
      </c>
      <c r="U36" s="2" t="s">
        <v>188</v>
      </c>
      <c r="V36" s="2" t="s">
        <v>199</v>
      </c>
      <c r="W36" s="2" t="s">
        <v>210</v>
      </c>
      <c r="X36" s="2" t="s">
        <v>211</v>
      </c>
      <c r="Y36" s="2" t="s">
        <v>108</v>
      </c>
      <c r="Z36" s="2" t="s">
        <v>212</v>
      </c>
      <c r="AA36" s="2" t="s">
        <v>213</v>
      </c>
      <c r="AB36" s="2" t="s">
        <v>110</v>
      </c>
      <c r="AC36" s="2" t="s">
        <v>111</v>
      </c>
      <c r="AD36" s="2">
        <v>22</v>
      </c>
      <c r="AE36" s="2">
        <v>3</v>
      </c>
      <c r="AF36" s="2">
        <v>0</v>
      </c>
      <c r="AG36" s="2" t="s">
        <v>113</v>
      </c>
      <c r="AH36" s="2" t="s">
        <v>113</v>
      </c>
      <c r="AI36" s="2"/>
      <c r="AJ36" s="2"/>
      <c r="AK36" s="2">
        <v>350</v>
      </c>
      <c r="AL36" s="2">
        <v>66</v>
      </c>
      <c r="AM36" s="2">
        <v>0</v>
      </c>
      <c r="AN36" s="2"/>
      <c r="AO36" s="2" t="s">
        <v>114</v>
      </c>
      <c r="AP36" s="2"/>
      <c r="AQ36" s="2" t="s">
        <v>286</v>
      </c>
      <c r="AR36" s="2" t="s">
        <v>23</v>
      </c>
      <c r="AS36" s="2" t="s">
        <v>24</v>
      </c>
      <c r="AT36" s="2" t="s">
        <v>25</v>
      </c>
      <c r="AU36" s="2" t="s">
        <v>287</v>
      </c>
      <c r="AV36" s="2" t="s">
        <v>26</v>
      </c>
      <c r="AW36" s="2" t="s">
        <v>288</v>
      </c>
      <c r="AX36" s="2" t="s">
        <v>289</v>
      </c>
      <c r="AY36" s="2" t="s">
        <v>119</v>
      </c>
      <c r="AZ36" s="2" t="s">
        <v>290</v>
      </c>
      <c r="BA36" s="2" t="s">
        <v>291</v>
      </c>
      <c r="BB36" s="2" t="s">
        <v>292</v>
      </c>
      <c r="BC36" s="2" t="s">
        <v>123</v>
      </c>
      <c r="BD36" s="5">
        <v>46283</v>
      </c>
      <c r="BE36" s="6">
        <v>46283.557210648149</v>
      </c>
      <c r="BF36" s="2">
        <v>0.99</v>
      </c>
      <c r="BG36" s="2" t="s">
        <v>113</v>
      </c>
    </row>
    <row r="37" spans="1:59" ht="43.5" hidden="1" x14ac:dyDescent="0.35">
      <c r="A37" s="2" t="s">
        <v>92</v>
      </c>
      <c r="B37" s="2" t="s">
        <v>21</v>
      </c>
      <c r="C37" s="2" t="s">
        <v>93</v>
      </c>
      <c r="D37" s="2" t="s">
        <v>94</v>
      </c>
      <c r="E37" s="2" t="s">
        <v>279</v>
      </c>
      <c r="F37" s="2" t="s">
        <v>326</v>
      </c>
      <c r="G37" s="2" t="s">
        <v>199</v>
      </c>
      <c r="H37" s="2" t="s">
        <v>327</v>
      </c>
      <c r="I37" s="2">
        <v>13</v>
      </c>
      <c r="J37" s="2" t="s">
        <v>328</v>
      </c>
      <c r="K37" s="2" t="s">
        <v>329</v>
      </c>
      <c r="L37" s="2">
        <v>13</v>
      </c>
      <c r="M37" s="5">
        <v>46283</v>
      </c>
      <c r="N37" s="6">
        <v>46283.554432870369</v>
      </c>
      <c r="O37" s="6">
        <v>46283.561203703714</v>
      </c>
      <c r="P37" s="2">
        <v>585</v>
      </c>
      <c r="Q37" s="2" t="s">
        <v>283</v>
      </c>
      <c r="R37" s="2" t="s">
        <v>102</v>
      </c>
      <c r="S37" s="2" t="s">
        <v>284</v>
      </c>
      <c r="T37" s="2" t="s">
        <v>285</v>
      </c>
      <c r="U37" s="2" t="s">
        <v>188</v>
      </c>
      <c r="V37" s="2" t="s">
        <v>199</v>
      </c>
      <c r="W37" s="2" t="s">
        <v>218</v>
      </c>
      <c r="X37" s="2" t="s">
        <v>219</v>
      </c>
      <c r="Y37" s="2" t="s">
        <v>130</v>
      </c>
      <c r="Z37" s="2" t="s">
        <v>330</v>
      </c>
      <c r="AA37" s="2" t="s">
        <v>253</v>
      </c>
      <c r="AB37" s="2" t="s">
        <v>159</v>
      </c>
      <c r="AC37" s="2" t="s">
        <v>133</v>
      </c>
      <c r="AD37" s="2">
        <v>0</v>
      </c>
      <c r="AE37" s="2">
        <v>0</v>
      </c>
      <c r="AF37" s="2">
        <v>0</v>
      </c>
      <c r="AG37" s="2" t="s">
        <v>112</v>
      </c>
      <c r="AH37" s="2" t="s">
        <v>112</v>
      </c>
      <c r="AI37" s="2"/>
      <c r="AJ37" s="2"/>
      <c r="AK37" s="2">
        <v>585000</v>
      </c>
      <c r="AL37" s="2">
        <v>0</v>
      </c>
      <c r="AM37" s="2">
        <v>585</v>
      </c>
      <c r="AN37" s="2" t="s">
        <v>331</v>
      </c>
      <c r="AO37" s="7" t="s">
        <v>255</v>
      </c>
      <c r="AP37" s="2" t="s">
        <v>332</v>
      </c>
      <c r="AQ37" s="2" t="s">
        <v>286</v>
      </c>
      <c r="AR37" s="2" t="s">
        <v>23</v>
      </c>
      <c r="AS37" s="2" t="s">
        <v>24</v>
      </c>
      <c r="AT37" s="2" t="s">
        <v>25</v>
      </c>
      <c r="AU37" s="2" t="s">
        <v>287</v>
      </c>
      <c r="AV37" s="2" t="s">
        <v>26</v>
      </c>
      <c r="AW37" s="2" t="s">
        <v>288</v>
      </c>
      <c r="AX37" s="2" t="s">
        <v>289</v>
      </c>
      <c r="AY37" s="2" t="s">
        <v>119</v>
      </c>
      <c r="AZ37" s="2" t="s">
        <v>290</v>
      </c>
      <c r="BA37" s="2" t="s">
        <v>291</v>
      </c>
      <c r="BB37" s="2" t="s">
        <v>292</v>
      </c>
      <c r="BC37" s="2" t="s">
        <v>123</v>
      </c>
      <c r="BD37" s="5">
        <v>46283</v>
      </c>
      <c r="BE37" s="6">
        <v>46283.563981481479</v>
      </c>
      <c r="BF37" s="2">
        <v>0.99</v>
      </c>
      <c r="BG37" s="2" t="s">
        <v>113</v>
      </c>
    </row>
    <row r="38" spans="1:59" ht="43.5" hidden="1" x14ac:dyDescent="0.35">
      <c r="A38" s="2" t="s">
        <v>92</v>
      </c>
      <c r="B38" s="2" t="s">
        <v>21</v>
      </c>
      <c r="C38" s="2" t="s">
        <v>93</v>
      </c>
      <c r="D38" s="2" t="s">
        <v>94</v>
      </c>
      <c r="E38" s="2" t="s">
        <v>279</v>
      </c>
      <c r="F38" s="2" t="s">
        <v>333</v>
      </c>
      <c r="G38" s="2" t="s">
        <v>199</v>
      </c>
      <c r="H38" s="2" t="s">
        <v>334</v>
      </c>
      <c r="I38" s="2">
        <v>14</v>
      </c>
      <c r="J38" s="2" t="s">
        <v>335</v>
      </c>
      <c r="K38" s="2" t="s">
        <v>336</v>
      </c>
      <c r="L38" s="2">
        <v>14</v>
      </c>
      <c r="M38" s="5">
        <v>46283</v>
      </c>
      <c r="N38" s="6">
        <v>46283.561203703714</v>
      </c>
      <c r="O38" s="6">
        <v>46283.563402777778</v>
      </c>
      <c r="P38" s="2">
        <v>190</v>
      </c>
      <c r="Q38" s="2" t="s">
        <v>283</v>
      </c>
      <c r="R38" s="2" t="s">
        <v>102</v>
      </c>
      <c r="S38" s="2" t="s">
        <v>284</v>
      </c>
      <c r="T38" s="2" t="s">
        <v>285</v>
      </c>
      <c r="U38" s="2" t="s">
        <v>188</v>
      </c>
      <c r="V38" s="2" t="s">
        <v>199</v>
      </c>
      <c r="W38" s="2" t="s">
        <v>337</v>
      </c>
      <c r="X38" s="2" t="s">
        <v>338</v>
      </c>
      <c r="Y38" s="2" t="s">
        <v>108</v>
      </c>
      <c r="Z38" s="2" t="s">
        <v>339</v>
      </c>
      <c r="AA38" s="2" t="s">
        <v>109</v>
      </c>
      <c r="AB38" s="2" t="s">
        <v>110</v>
      </c>
      <c r="AC38" s="2" t="s">
        <v>111</v>
      </c>
      <c r="AD38" s="2">
        <v>28</v>
      </c>
      <c r="AE38" s="2">
        <v>4</v>
      </c>
      <c r="AF38" s="2">
        <v>0</v>
      </c>
      <c r="AG38" s="2" t="s">
        <v>112</v>
      </c>
      <c r="AH38" s="2" t="s">
        <v>113</v>
      </c>
      <c r="AI38" s="2"/>
      <c r="AJ38" s="2"/>
      <c r="AK38" s="2">
        <v>350</v>
      </c>
      <c r="AL38" s="2">
        <v>110</v>
      </c>
      <c r="AM38" s="2">
        <v>80</v>
      </c>
      <c r="AN38" s="2" t="s">
        <v>340</v>
      </c>
      <c r="AO38" s="2" t="s">
        <v>114</v>
      </c>
      <c r="AP38" s="2" t="s">
        <v>341</v>
      </c>
      <c r="AQ38" s="2" t="s">
        <v>286</v>
      </c>
      <c r="AR38" s="2" t="s">
        <v>23</v>
      </c>
      <c r="AS38" s="2" t="s">
        <v>24</v>
      </c>
      <c r="AT38" s="2" t="s">
        <v>25</v>
      </c>
      <c r="AU38" s="2" t="s">
        <v>287</v>
      </c>
      <c r="AV38" s="2" t="s">
        <v>26</v>
      </c>
      <c r="AW38" s="2" t="s">
        <v>288</v>
      </c>
      <c r="AX38" s="2" t="s">
        <v>289</v>
      </c>
      <c r="AY38" s="2" t="s">
        <v>119</v>
      </c>
      <c r="AZ38" s="2" t="s">
        <v>290</v>
      </c>
      <c r="BA38" s="2" t="s">
        <v>291</v>
      </c>
      <c r="BB38" s="2" t="s">
        <v>292</v>
      </c>
      <c r="BC38" s="2" t="s">
        <v>123</v>
      </c>
      <c r="BD38" s="5">
        <v>46283</v>
      </c>
      <c r="BE38" s="6">
        <v>46283.566180555557</v>
      </c>
      <c r="BF38" s="2">
        <v>0.99</v>
      </c>
      <c r="BG38" s="2" t="s">
        <v>113</v>
      </c>
    </row>
    <row r="39" spans="1:59" ht="43.5" hidden="1" x14ac:dyDescent="0.35">
      <c r="A39" s="2" t="s">
        <v>92</v>
      </c>
      <c r="B39" s="2" t="s">
        <v>21</v>
      </c>
      <c r="C39" s="2" t="s">
        <v>93</v>
      </c>
      <c r="D39" s="2" t="s">
        <v>94</v>
      </c>
      <c r="E39" s="2" t="s">
        <v>279</v>
      </c>
      <c r="F39" s="2" t="s">
        <v>342</v>
      </c>
      <c r="G39" s="2" t="s">
        <v>199</v>
      </c>
      <c r="H39" s="2" t="s">
        <v>343</v>
      </c>
      <c r="I39" s="2">
        <v>15</v>
      </c>
      <c r="J39" s="2" t="s">
        <v>344</v>
      </c>
      <c r="K39" s="2" t="s">
        <v>345</v>
      </c>
      <c r="L39" s="2">
        <v>15</v>
      </c>
      <c r="M39" s="5">
        <v>46283</v>
      </c>
      <c r="N39" s="6">
        <v>46283.563402777778</v>
      </c>
      <c r="O39" s="6">
        <v>46283.563935185193</v>
      </c>
      <c r="P39" s="2">
        <v>46</v>
      </c>
      <c r="Q39" s="2" t="s">
        <v>283</v>
      </c>
      <c r="R39" s="2" t="s">
        <v>102</v>
      </c>
      <c r="S39" s="2" t="s">
        <v>284</v>
      </c>
      <c r="T39" s="2" t="s">
        <v>285</v>
      </c>
      <c r="U39" s="2" t="s">
        <v>188</v>
      </c>
      <c r="V39" s="2" t="s">
        <v>199</v>
      </c>
      <c r="W39" s="2" t="s">
        <v>346</v>
      </c>
      <c r="X39" s="2" t="s">
        <v>347</v>
      </c>
      <c r="Y39" s="2" t="s">
        <v>130</v>
      </c>
      <c r="Z39" s="2" t="s">
        <v>6</v>
      </c>
      <c r="AA39" s="2" t="s">
        <v>158</v>
      </c>
      <c r="AB39" s="2" t="s">
        <v>159</v>
      </c>
      <c r="AC39" s="2" t="s">
        <v>133</v>
      </c>
      <c r="AD39" s="2">
        <v>0</v>
      </c>
      <c r="AE39" s="2">
        <v>0</v>
      </c>
      <c r="AF39" s="2">
        <v>0</v>
      </c>
      <c r="AG39" s="2" t="s">
        <v>112</v>
      </c>
      <c r="AH39" s="2" t="s">
        <v>112</v>
      </c>
      <c r="AI39" s="2"/>
      <c r="AJ39" s="2"/>
      <c r="AK39" s="2">
        <v>350</v>
      </c>
      <c r="AL39" s="2">
        <v>8</v>
      </c>
      <c r="AM39" s="2">
        <v>38</v>
      </c>
      <c r="AN39" s="2"/>
      <c r="AO39" s="2" t="s">
        <v>114</v>
      </c>
      <c r="AP39" s="2"/>
      <c r="AQ39" s="2" t="s">
        <v>286</v>
      </c>
      <c r="AR39" s="2" t="s">
        <v>23</v>
      </c>
      <c r="AS39" s="2" t="s">
        <v>24</v>
      </c>
      <c r="AT39" s="2" t="s">
        <v>25</v>
      </c>
      <c r="AU39" s="2" t="s">
        <v>287</v>
      </c>
      <c r="AV39" s="2" t="s">
        <v>26</v>
      </c>
      <c r="AW39" s="2" t="s">
        <v>288</v>
      </c>
      <c r="AX39" s="2" t="s">
        <v>289</v>
      </c>
      <c r="AY39" s="2" t="s">
        <v>119</v>
      </c>
      <c r="AZ39" s="2" t="s">
        <v>290</v>
      </c>
      <c r="BA39" s="2" t="s">
        <v>291</v>
      </c>
      <c r="BB39" s="2" t="s">
        <v>292</v>
      </c>
      <c r="BC39" s="2" t="s">
        <v>123</v>
      </c>
      <c r="BD39" s="5">
        <v>46283</v>
      </c>
      <c r="BE39" s="6">
        <v>46283.566712962973</v>
      </c>
      <c r="BF39" s="2">
        <v>0.99</v>
      </c>
      <c r="BG39" s="2" t="s">
        <v>113</v>
      </c>
    </row>
    <row r="40" spans="1:59" ht="43.5" hidden="1" x14ac:dyDescent="0.35">
      <c r="A40" s="2" t="s">
        <v>92</v>
      </c>
      <c r="B40" s="2" t="s">
        <v>21</v>
      </c>
      <c r="C40" s="2" t="s">
        <v>93</v>
      </c>
      <c r="D40" s="2" t="s">
        <v>94</v>
      </c>
      <c r="E40" s="2" t="s">
        <v>279</v>
      </c>
      <c r="F40" s="2" t="s">
        <v>348</v>
      </c>
      <c r="G40" s="2" t="s">
        <v>222</v>
      </c>
      <c r="H40" s="2" t="s">
        <v>349</v>
      </c>
      <c r="I40" s="2">
        <v>16</v>
      </c>
      <c r="J40" s="2" t="s">
        <v>224</v>
      </c>
      <c r="K40" s="2" t="s">
        <v>350</v>
      </c>
      <c r="L40" s="2">
        <v>16</v>
      </c>
      <c r="M40" s="5">
        <v>46283</v>
      </c>
      <c r="N40" s="6">
        <v>46283.595833333333</v>
      </c>
      <c r="O40" s="6">
        <v>46283.595925925933</v>
      </c>
      <c r="P40" s="2">
        <v>8</v>
      </c>
      <c r="Q40" s="2" t="s">
        <v>283</v>
      </c>
      <c r="R40" s="2" t="s">
        <v>102</v>
      </c>
      <c r="S40" s="2" t="s">
        <v>284</v>
      </c>
      <c r="T40" s="2" t="s">
        <v>285</v>
      </c>
      <c r="U40" s="2" t="s">
        <v>188</v>
      </c>
      <c r="V40" s="2" t="s">
        <v>222</v>
      </c>
      <c r="W40" s="2" t="s">
        <v>226</v>
      </c>
      <c r="X40" s="2" t="s">
        <v>227</v>
      </c>
      <c r="Y40" s="2" t="s">
        <v>142</v>
      </c>
      <c r="Z40" s="2" t="s">
        <v>228</v>
      </c>
      <c r="AA40" s="2" t="s">
        <v>144</v>
      </c>
      <c r="AB40" s="2" t="s">
        <v>110</v>
      </c>
      <c r="AC40" s="2" t="s">
        <v>145</v>
      </c>
      <c r="AD40" s="2">
        <v>0</v>
      </c>
      <c r="AE40" s="2">
        <v>1</v>
      </c>
      <c r="AF40" s="2">
        <v>0</v>
      </c>
      <c r="AG40" s="2" t="s">
        <v>112</v>
      </c>
      <c r="AH40" s="2" t="s">
        <v>112</v>
      </c>
      <c r="AI40" s="2"/>
      <c r="AJ40" s="2"/>
      <c r="AK40" s="2">
        <v>350</v>
      </c>
      <c r="AL40" s="2">
        <v>8</v>
      </c>
      <c r="AM40" s="2">
        <v>0</v>
      </c>
      <c r="AN40" s="2"/>
      <c r="AO40" s="2" t="s">
        <v>114</v>
      </c>
      <c r="AP40" s="2"/>
      <c r="AQ40" s="2" t="s">
        <v>286</v>
      </c>
      <c r="AR40" s="2" t="s">
        <v>23</v>
      </c>
      <c r="AS40" s="2" t="s">
        <v>24</v>
      </c>
      <c r="AT40" s="2" t="s">
        <v>25</v>
      </c>
      <c r="AU40" s="2" t="s">
        <v>287</v>
      </c>
      <c r="AV40" s="2" t="s">
        <v>26</v>
      </c>
      <c r="AW40" s="2" t="s">
        <v>288</v>
      </c>
      <c r="AX40" s="2" t="s">
        <v>289</v>
      </c>
      <c r="AY40" s="2" t="s">
        <v>119</v>
      </c>
      <c r="AZ40" s="2" t="s">
        <v>290</v>
      </c>
      <c r="BA40" s="2" t="s">
        <v>291</v>
      </c>
      <c r="BB40" s="2" t="s">
        <v>292</v>
      </c>
      <c r="BC40" s="2" t="s">
        <v>123</v>
      </c>
      <c r="BD40" s="5">
        <v>46283</v>
      </c>
      <c r="BE40" s="6">
        <v>46283.598703703698</v>
      </c>
      <c r="BF40" s="2">
        <v>0.99</v>
      </c>
      <c r="BG40" s="2" t="s">
        <v>113</v>
      </c>
    </row>
    <row r="41" spans="1:59" ht="43.5" hidden="1" x14ac:dyDescent="0.35">
      <c r="A41" s="2" t="s">
        <v>92</v>
      </c>
      <c r="B41" s="2" t="s">
        <v>21</v>
      </c>
      <c r="C41" s="2" t="s">
        <v>93</v>
      </c>
      <c r="D41" s="2" t="s">
        <v>94</v>
      </c>
      <c r="E41" s="2" t="s">
        <v>279</v>
      </c>
      <c r="F41" s="2" t="s">
        <v>351</v>
      </c>
      <c r="G41" s="2" t="s">
        <v>230</v>
      </c>
      <c r="H41" s="2" t="s">
        <v>352</v>
      </c>
      <c r="I41" s="2">
        <v>17</v>
      </c>
      <c r="J41" s="2" t="s">
        <v>232</v>
      </c>
      <c r="K41" s="2" t="s">
        <v>353</v>
      </c>
      <c r="L41" s="2">
        <v>17</v>
      </c>
      <c r="M41" s="5">
        <v>46283</v>
      </c>
      <c r="N41" s="6">
        <v>46283.598611111112</v>
      </c>
      <c r="O41" s="6">
        <v>46283.598819444444</v>
      </c>
      <c r="P41" s="2">
        <v>18</v>
      </c>
      <c r="Q41" s="2" t="s">
        <v>283</v>
      </c>
      <c r="R41" s="2" t="s">
        <v>102</v>
      </c>
      <c r="S41" s="2" t="s">
        <v>284</v>
      </c>
      <c r="T41" s="2" t="s">
        <v>285</v>
      </c>
      <c r="U41" s="2" t="s">
        <v>188</v>
      </c>
      <c r="V41" s="2" t="s">
        <v>230</v>
      </c>
      <c r="W41" s="2" t="s">
        <v>234</v>
      </c>
      <c r="X41" s="2" t="s">
        <v>235</v>
      </c>
      <c r="Y41" s="2" t="s">
        <v>142</v>
      </c>
      <c r="Z41" s="2" t="s">
        <v>236</v>
      </c>
      <c r="AA41" s="2" t="s">
        <v>144</v>
      </c>
      <c r="AB41" s="2" t="s">
        <v>110</v>
      </c>
      <c r="AC41" s="2" t="s">
        <v>145</v>
      </c>
      <c r="AD41" s="2">
        <v>0</v>
      </c>
      <c r="AE41" s="2">
        <v>2</v>
      </c>
      <c r="AF41" s="2">
        <v>0</v>
      </c>
      <c r="AG41" s="2" t="s">
        <v>112</v>
      </c>
      <c r="AH41" s="2" t="s">
        <v>112</v>
      </c>
      <c r="AI41" s="2"/>
      <c r="AJ41" s="2"/>
      <c r="AK41" s="2">
        <v>350</v>
      </c>
      <c r="AL41" s="2">
        <v>18</v>
      </c>
      <c r="AM41" s="2">
        <v>0</v>
      </c>
      <c r="AN41" s="2"/>
      <c r="AO41" s="2" t="s">
        <v>114</v>
      </c>
      <c r="AP41" s="2"/>
      <c r="AQ41" s="2" t="s">
        <v>286</v>
      </c>
      <c r="AR41" s="2" t="s">
        <v>23</v>
      </c>
      <c r="AS41" s="2" t="s">
        <v>24</v>
      </c>
      <c r="AT41" s="2" t="s">
        <v>25</v>
      </c>
      <c r="AU41" s="2" t="s">
        <v>287</v>
      </c>
      <c r="AV41" s="2" t="s">
        <v>26</v>
      </c>
      <c r="AW41" s="2" t="s">
        <v>288</v>
      </c>
      <c r="AX41" s="2" t="s">
        <v>289</v>
      </c>
      <c r="AY41" s="2" t="s">
        <v>119</v>
      </c>
      <c r="AZ41" s="2" t="s">
        <v>290</v>
      </c>
      <c r="BA41" s="2" t="s">
        <v>291</v>
      </c>
      <c r="BB41" s="2" t="s">
        <v>292</v>
      </c>
      <c r="BC41" s="2" t="s">
        <v>123</v>
      </c>
      <c r="BD41" s="5">
        <v>46283</v>
      </c>
      <c r="BE41" s="6">
        <v>46283.601597222223</v>
      </c>
      <c r="BF41" s="2">
        <v>0.99</v>
      </c>
      <c r="BG41" s="2" t="s">
        <v>113</v>
      </c>
    </row>
    <row r="42" spans="1:59" ht="43.5" hidden="1" x14ac:dyDescent="0.35">
      <c r="A42" s="2" t="s">
        <v>92</v>
      </c>
      <c r="B42" s="2" t="s">
        <v>21</v>
      </c>
      <c r="C42" s="2" t="s">
        <v>93</v>
      </c>
      <c r="D42" s="2" t="s">
        <v>94</v>
      </c>
      <c r="E42" s="2" t="s">
        <v>279</v>
      </c>
      <c r="F42" s="2" t="s">
        <v>354</v>
      </c>
      <c r="G42" s="2" t="s">
        <v>238</v>
      </c>
      <c r="H42" s="2" t="s">
        <v>355</v>
      </c>
      <c r="I42" s="2">
        <v>18</v>
      </c>
      <c r="J42" s="2" t="s">
        <v>240</v>
      </c>
      <c r="K42" s="2" t="s">
        <v>356</v>
      </c>
      <c r="L42" s="2">
        <v>18</v>
      </c>
      <c r="M42" s="5">
        <v>46283</v>
      </c>
      <c r="N42" s="6">
        <v>46283.598819444444</v>
      </c>
      <c r="O42" s="6">
        <v>46283.598900462966</v>
      </c>
      <c r="P42" s="2">
        <v>7</v>
      </c>
      <c r="Q42" s="2" t="s">
        <v>283</v>
      </c>
      <c r="R42" s="2" t="s">
        <v>102</v>
      </c>
      <c r="S42" s="2" t="s">
        <v>284</v>
      </c>
      <c r="T42" s="2" t="s">
        <v>285</v>
      </c>
      <c r="U42" s="2" t="s">
        <v>242</v>
      </c>
      <c r="V42" s="2" t="s">
        <v>238</v>
      </c>
      <c r="W42" s="2" t="s">
        <v>243</v>
      </c>
      <c r="X42" s="2" t="s">
        <v>244</v>
      </c>
      <c r="Y42" s="2" t="s">
        <v>142</v>
      </c>
      <c r="Z42" s="2" t="s">
        <v>245</v>
      </c>
      <c r="AA42" s="2" t="s">
        <v>144</v>
      </c>
      <c r="AB42" s="2" t="s">
        <v>110</v>
      </c>
      <c r="AC42" s="2" t="s">
        <v>145</v>
      </c>
      <c r="AD42" s="2">
        <v>0</v>
      </c>
      <c r="AE42" s="2">
        <v>1</v>
      </c>
      <c r="AF42" s="2">
        <v>0</v>
      </c>
      <c r="AG42" s="2" t="s">
        <v>112</v>
      </c>
      <c r="AH42" s="2" t="s">
        <v>112</v>
      </c>
      <c r="AI42" s="2"/>
      <c r="AJ42" s="2"/>
      <c r="AK42" s="2">
        <v>350</v>
      </c>
      <c r="AL42" s="2">
        <v>7</v>
      </c>
      <c r="AM42" s="2">
        <v>0</v>
      </c>
      <c r="AN42" s="2"/>
      <c r="AO42" s="2" t="s">
        <v>114</v>
      </c>
      <c r="AP42" s="2"/>
      <c r="AQ42" s="2" t="s">
        <v>286</v>
      </c>
      <c r="AR42" s="2" t="s">
        <v>23</v>
      </c>
      <c r="AS42" s="2" t="s">
        <v>24</v>
      </c>
      <c r="AT42" s="2" t="s">
        <v>25</v>
      </c>
      <c r="AU42" s="2" t="s">
        <v>287</v>
      </c>
      <c r="AV42" s="2" t="s">
        <v>26</v>
      </c>
      <c r="AW42" s="2" t="s">
        <v>288</v>
      </c>
      <c r="AX42" s="2" t="s">
        <v>289</v>
      </c>
      <c r="AY42" s="2" t="s">
        <v>119</v>
      </c>
      <c r="AZ42" s="2" t="s">
        <v>290</v>
      </c>
      <c r="BA42" s="2" t="s">
        <v>291</v>
      </c>
      <c r="BB42" s="2" t="s">
        <v>292</v>
      </c>
      <c r="BC42" s="2" t="s">
        <v>123</v>
      </c>
      <c r="BD42" s="5">
        <v>46283</v>
      </c>
      <c r="BE42" s="6">
        <v>46283.601678240739</v>
      </c>
      <c r="BF42" s="2">
        <v>0.99</v>
      </c>
      <c r="BG42" s="2" t="s">
        <v>113</v>
      </c>
    </row>
    <row r="43" spans="1:59" ht="43.5" hidden="1" x14ac:dyDescent="0.35">
      <c r="A43" s="2" t="s">
        <v>92</v>
      </c>
      <c r="B43" s="2" t="s">
        <v>21</v>
      </c>
      <c r="C43" s="2" t="s">
        <v>93</v>
      </c>
      <c r="D43" s="2" t="s">
        <v>94</v>
      </c>
      <c r="E43" s="2" t="s">
        <v>279</v>
      </c>
      <c r="F43" s="2" t="s">
        <v>357</v>
      </c>
      <c r="G43" s="2" t="s">
        <v>238</v>
      </c>
      <c r="H43" s="2" t="s">
        <v>358</v>
      </c>
      <c r="I43" s="2">
        <v>19</v>
      </c>
      <c r="J43" s="2" t="s">
        <v>359</v>
      </c>
      <c r="K43" s="2" t="s">
        <v>360</v>
      </c>
      <c r="L43" s="2">
        <v>19</v>
      </c>
      <c r="M43" s="5">
        <v>46283</v>
      </c>
      <c r="N43" s="6">
        <v>46283.598900462966</v>
      </c>
      <c r="O43" s="6">
        <v>46283.599224537043</v>
      </c>
      <c r="P43" s="2">
        <v>28</v>
      </c>
      <c r="Q43" s="2" t="s">
        <v>283</v>
      </c>
      <c r="R43" s="2" t="s">
        <v>102</v>
      </c>
      <c r="S43" s="2" t="s">
        <v>284</v>
      </c>
      <c r="T43" s="2" t="s">
        <v>285</v>
      </c>
      <c r="U43" s="2" t="s">
        <v>242</v>
      </c>
      <c r="V43" s="2" t="s">
        <v>238</v>
      </c>
      <c r="W43" s="2" t="s">
        <v>250</v>
      </c>
      <c r="X43" s="2" t="s">
        <v>251</v>
      </c>
      <c r="Y43" s="2" t="s">
        <v>142</v>
      </c>
      <c r="Z43" s="2" t="s">
        <v>252</v>
      </c>
      <c r="AA43" s="2" t="s">
        <v>144</v>
      </c>
      <c r="AB43" s="2" t="s">
        <v>110</v>
      </c>
      <c r="AC43" s="2" t="s">
        <v>145</v>
      </c>
      <c r="AD43" s="2">
        <v>0</v>
      </c>
      <c r="AE43" s="2">
        <v>2</v>
      </c>
      <c r="AF43" s="2">
        <v>0</v>
      </c>
      <c r="AG43" s="2" t="s">
        <v>112</v>
      </c>
      <c r="AH43" s="2" t="s">
        <v>112</v>
      </c>
      <c r="AI43" s="2"/>
      <c r="AJ43" s="2"/>
      <c r="AK43" s="2">
        <v>350</v>
      </c>
      <c r="AL43" s="2">
        <v>18</v>
      </c>
      <c r="AM43" s="2">
        <v>10</v>
      </c>
      <c r="AN43" s="2"/>
      <c r="AO43" s="2" t="s">
        <v>114</v>
      </c>
      <c r="AP43" s="2"/>
      <c r="AQ43" s="2" t="s">
        <v>286</v>
      </c>
      <c r="AR43" s="2" t="s">
        <v>23</v>
      </c>
      <c r="AS43" s="2" t="s">
        <v>24</v>
      </c>
      <c r="AT43" s="2" t="s">
        <v>25</v>
      </c>
      <c r="AU43" s="2" t="s">
        <v>287</v>
      </c>
      <c r="AV43" s="2" t="s">
        <v>26</v>
      </c>
      <c r="AW43" s="2" t="s">
        <v>288</v>
      </c>
      <c r="AX43" s="2" t="s">
        <v>289</v>
      </c>
      <c r="AY43" s="2" t="s">
        <v>119</v>
      </c>
      <c r="AZ43" s="2" t="s">
        <v>290</v>
      </c>
      <c r="BA43" s="2" t="s">
        <v>291</v>
      </c>
      <c r="BB43" s="2" t="s">
        <v>292</v>
      </c>
      <c r="BC43" s="2" t="s">
        <v>123</v>
      </c>
      <c r="BD43" s="5">
        <v>46283</v>
      </c>
      <c r="BE43" s="6">
        <v>46283.602002314823</v>
      </c>
      <c r="BF43" s="2">
        <v>0.99</v>
      </c>
      <c r="BG43" s="2" t="s">
        <v>113</v>
      </c>
    </row>
    <row r="44" spans="1:59" ht="43.5" hidden="1" x14ac:dyDescent="0.35">
      <c r="A44" s="2" t="s">
        <v>92</v>
      </c>
      <c r="B44" s="2" t="s">
        <v>21</v>
      </c>
      <c r="C44" s="2" t="s">
        <v>93</v>
      </c>
      <c r="D44" s="2" t="s">
        <v>94</v>
      </c>
      <c r="E44" s="2" t="s">
        <v>279</v>
      </c>
      <c r="F44" s="2" t="s">
        <v>361</v>
      </c>
      <c r="G44" s="2" t="s">
        <v>265</v>
      </c>
      <c r="H44" s="2" t="s">
        <v>362</v>
      </c>
      <c r="I44" s="2">
        <v>20</v>
      </c>
      <c r="J44" s="2" t="s">
        <v>267</v>
      </c>
      <c r="K44" s="2" t="s">
        <v>363</v>
      </c>
      <c r="L44" s="2">
        <v>20</v>
      </c>
      <c r="M44" s="5">
        <v>46283</v>
      </c>
      <c r="N44" s="6">
        <v>46283.599224537043</v>
      </c>
      <c r="O44" s="6">
        <v>46283.59951388889</v>
      </c>
      <c r="P44" s="2">
        <v>25</v>
      </c>
      <c r="Q44" s="2" t="s">
        <v>283</v>
      </c>
      <c r="R44" s="2" t="s">
        <v>102</v>
      </c>
      <c r="S44" s="2" t="s">
        <v>284</v>
      </c>
      <c r="T44" s="2" t="s">
        <v>285</v>
      </c>
      <c r="U44" s="2" t="s">
        <v>242</v>
      </c>
      <c r="V44" s="2" t="s">
        <v>265</v>
      </c>
      <c r="W44" s="2" t="s">
        <v>269</v>
      </c>
      <c r="X44" s="2" t="s">
        <v>265</v>
      </c>
      <c r="Y44" s="2" t="s">
        <v>142</v>
      </c>
      <c r="Z44" s="2" t="s">
        <v>270</v>
      </c>
      <c r="AA44" s="2" t="s">
        <v>144</v>
      </c>
      <c r="AB44" s="2" t="s">
        <v>110</v>
      </c>
      <c r="AC44" s="2" t="s">
        <v>145</v>
      </c>
      <c r="AD44" s="2">
        <v>0</v>
      </c>
      <c r="AE44" s="2">
        <v>3</v>
      </c>
      <c r="AF44" s="2">
        <v>0</v>
      </c>
      <c r="AG44" s="2" t="s">
        <v>112</v>
      </c>
      <c r="AH44" s="2" t="s">
        <v>112</v>
      </c>
      <c r="AI44" s="2"/>
      <c r="AJ44" s="2"/>
      <c r="AK44" s="2">
        <v>350</v>
      </c>
      <c r="AL44" s="2">
        <v>25</v>
      </c>
      <c r="AM44" s="2">
        <v>0</v>
      </c>
      <c r="AN44" s="2"/>
      <c r="AO44" s="2" t="s">
        <v>114</v>
      </c>
      <c r="AP44" s="2"/>
      <c r="AQ44" s="2" t="s">
        <v>286</v>
      </c>
      <c r="AR44" s="2" t="s">
        <v>23</v>
      </c>
      <c r="AS44" s="2" t="s">
        <v>24</v>
      </c>
      <c r="AT44" s="2" t="s">
        <v>25</v>
      </c>
      <c r="AU44" s="2" t="s">
        <v>287</v>
      </c>
      <c r="AV44" s="2" t="s">
        <v>26</v>
      </c>
      <c r="AW44" s="2" t="s">
        <v>288</v>
      </c>
      <c r="AX44" s="2" t="s">
        <v>289</v>
      </c>
      <c r="AY44" s="2" t="s">
        <v>119</v>
      </c>
      <c r="AZ44" s="2" t="s">
        <v>290</v>
      </c>
      <c r="BA44" s="2" t="s">
        <v>291</v>
      </c>
      <c r="BB44" s="2" t="s">
        <v>292</v>
      </c>
      <c r="BC44" s="2" t="s">
        <v>123</v>
      </c>
      <c r="BD44" s="5">
        <v>46283</v>
      </c>
      <c r="BE44" s="6">
        <v>46283.60229166667</v>
      </c>
      <c r="BF44" s="2">
        <v>0.99</v>
      </c>
      <c r="BG44" s="2" t="s">
        <v>113</v>
      </c>
    </row>
    <row r="45" spans="1:59" ht="43.5" hidden="1" x14ac:dyDescent="0.35">
      <c r="A45" s="2" t="s">
        <v>92</v>
      </c>
      <c r="B45" s="2" t="s">
        <v>21</v>
      </c>
      <c r="C45" s="2" t="s">
        <v>93</v>
      </c>
      <c r="D45" s="2" t="s">
        <v>94</v>
      </c>
      <c r="E45" s="2" t="s">
        <v>279</v>
      </c>
      <c r="F45" s="2" t="s">
        <v>364</v>
      </c>
      <c r="G45" s="2" t="s">
        <v>272</v>
      </c>
      <c r="H45" s="2" t="s">
        <v>365</v>
      </c>
      <c r="I45" s="2">
        <v>21</v>
      </c>
      <c r="J45" s="2" t="s">
        <v>274</v>
      </c>
      <c r="K45" s="2" t="s">
        <v>366</v>
      </c>
      <c r="L45" s="2">
        <v>21</v>
      </c>
      <c r="M45" s="5">
        <v>46283</v>
      </c>
      <c r="N45" s="6">
        <v>46283.59951388889</v>
      </c>
      <c r="O45" s="6">
        <v>46283.599652777782</v>
      </c>
      <c r="P45" s="2">
        <v>12</v>
      </c>
      <c r="Q45" s="2" t="s">
        <v>283</v>
      </c>
      <c r="R45" s="2" t="s">
        <v>102</v>
      </c>
      <c r="S45" s="2" t="s">
        <v>284</v>
      </c>
      <c r="T45" s="2" t="s">
        <v>285</v>
      </c>
      <c r="U45" s="2" t="s">
        <v>105</v>
      </c>
      <c r="V45" s="2" t="s">
        <v>272</v>
      </c>
      <c r="W45" s="2" t="s">
        <v>276</v>
      </c>
      <c r="X45" s="2" t="s">
        <v>277</v>
      </c>
      <c r="Y45" s="2" t="s">
        <v>142</v>
      </c>
      <c r="Z45" s="2" t="s">
        <v>278</v>
      </c>
      <c r="AA45" s="2" t="s">
        <v>144</v>
      </c>
      <c r="AB45" s="2" t="s">
        <v>110</v>
      </c>
      <c r="AC45" s="2" t="s">
        <v>145</v>
      </c>
      <c r="AD45" s="2">
        <v>0</v>
      </c>
      <c r="AE45" s="2">
        <v>2</v>
      </c>
      <c r="AF45" s="2">
        <v>0</v>
      </c>
      <c r="AG45" s="2" t="s">
        <v>112</v>
      </c>
      <c r="AH45" s="2" t="s">
        <v>112</v>
      </c>
      <c r="AI45" s="2"/>
      <c r="AJ45" s="2"/>
      <c r="AK45" s="2">
        <v>350</v>
      </c>
      <c r="AL45" s="2">
        <v>12</v>
      </c>
      <c r="AM45" s="2">
        <v>0</v>
      </c>
      <c r="AN45" s="2"/>
      <c r="AO45" s="2" t="s">
        <v>114</v>
      </c>
      <c r="AP45" s="2"/>
      <c r="AQ45" s="2" t="s">
        <v>286</v>
      </c>
      <c r="AR45" s="2" t="s">
        <v>23</v>
      </c>
      <c r="AS45" s="2" t="s">
        <v>24</v>
      </c>
      <c r="AT45" s="2" t="s">
        <v>25</v>
      </c>
      <c r="AU45" s="2" t="s">
        <v>287</v>
      </c>
      <c r="AV45" s="2" t="s">
        <v>26</v>
      </c>
      <c r="AW45" s="2" t="s">
        <v>288</v>
      </c>
      <c r="AX45" s="2" t="s">
        <v>289</v>
      </c>
      <c r="AY45" s="2" t="s">
        <v>119</v>
      </c>
      <c r="AZ45" s="2" t="s">
        <v>290</v>
      </c>
      <c r="BA45" s="2" t="s">
        <v>291</v>
      </c>
      <c r="BB45" s="2" t="s">
        <v>292</v>
      </c>
      <c r="BC45" s="2" t="s">
        <v>123</v>
      </c>
      <c r="BD45" s="5">
        <v>46283</v>
      </c>
      <c r="BE45" s="6">
        <v>46283.602430555547</v>
      </c>
      <c r="BF45" s="2">
        <v>0.99</v>
      </c>
      <c r="BG45" s="2" t="s">
        <v>113</v>
      </c>
    </row>
    <row r="46" spans="1:59" ht="43.5" hidden="1" x14ac:dyDescent="0.35">
      <c r="A46" s="2" t="s">
        <v>92</v>
      </c>
      <c r="B46" s="2" t="s">
        <v>28</v>
      </c>
      <c r="C46" s="2" t="s">
        <v>93</v>
      </c>
      <c r="D46" s="2" t="s">
        <v>94</v>
      </c>
      <c r="E46" s="2" t="s">
        <v>367</v>
      </c>
      <c r="F46" s="2" t="s">
        <v>368</v>
      </c>
      <c r="G46" s="2" t="s">
        <v>97</v>
      </c>
      <c r="H46" s="2" t="s">
        <v>369</v>
      </c>
      <c r="I46" s="2">
        <v>1</v>
      </c>
      <c r="J46" s="2" t="s">
        <v>99</v>
      </c>
      <c r="K46" s="2" t="s">
        <v>370</v>
      </c>
      <c r="L46" s="2">
        <v>1</v>
      </c>
      <c r="M46" s="5">
        <v>46281</v>
      </c>
      <c r="N46" s="6">
        <v>46281.378472222219</v>
      </c>
      <c r="O46" s="6">
        <v>46281.378564814811</v>
      </c>
      <c r="P46" s="2">
        <v>8</v>
      </c>
      <c r="Q46" s="2" t="s">
        <v>371</v>
      </c>
      <c r="R46" s="2" t="s">
        <v>102</v>
      </c>
      <c r="S46" s="2" t="s">
        <v>372</v>
      </c>
      <c r="T46" s="2" t="s">
        <v>373</v>
      </c>
      <c r="U46" s="2" t="s">
        <v>105</v>
      </c>
      <c r="V46" s="2" t="s">
        <v>97</v>
      </c>
      <c r="W46" s="2" t="s">
        <v>106</v>
      </c>
      <c r="X46" s="2" t="s">
        <v>107</v>
      </c>
      <c r="Y46" s="2" t="s">
        <v>108</v>
      </c>
      <c r="Z46" s="2" t="s">
        <v>4</v>
      </c>
      <c r="AA46" s="2" t="s">
        <v>109</v>
      </c>
      <c r="AB46" s="2" t="s">
        <v>110</v>
      </c>
      <c r="AC46" s="2" t="s">
        <v>111</v>
      </c>
      <c r="AD46" s="2">
        <v>12</v>
      </c>
      <c r="AE46" s="2">
        <v>0</v>
      </c>
      <c r="AF46" s="2">
        <v>0</v>
      </c>
      <c r="AG46" s="2" t="s">
        <v>112</v>
      </c>
      <c r="AH46" s="2" t="s">
        <v>113</v>
      </c>
      <c r="AI46" s="2"/>
      <c r="AJ46" s="2"/>
      <c r="AK46" s="2">
        <v>350</v>
      </c>
      <c r="AL46" s="2">
        <v>8</v>
      </c>
      <c r="AM46" s="2">
        <v>0</v>
      </c>
      <c r="AN46" s="2"/>
      <c r="AO46" s="2" t="s">
        <v>114</v>
      </c>
      <c r="AP46" s="2"/>
      <c r="AQ46" s="2" t="s">
        <v>374</v>
      </c>
      <c r="AR46" s="2" t="s">
        <v>30</v>
      </c>
      <c r="AS46" s="2" t="s">
        <v>31</v>
      </c>
      <c r="AT46" s="2" t="s">
        <v>32</v>
      </c>
      <c r="AU46" s="2" t="s">
        <v>375</v>
      </c>
      <c r="AV46" s="2" t="s">
        <v>33</v>
      </c>
      <c r="AW46" s="2" t="s">
        <v>376</v>
      </c>
      <c r="AX46" s="2" t="s">
        <v>377</v>
      </c>
      <c r="AY46" s="2" t="s">
        <v>119</v>
      </c>
      <c r="AZ46" s="2" t="s">
        <v>378</v>
      </c>
      <c r="BA46" s="2" t="s">
        <v>379</v>
      </c>
      <c r="BB46" s="2" t="s">
        <v>380</v>
      </c>
      <c r="BC46" s="2" t="s">
        <v>123</v>
      </c>
      <c r="BD46" s="5">
        <v>46281</v>
      </c>
      <c r="BE46" s="6">
        <v>46281.381342592591</v>
      </c>
      <c r="BF46" s="2">
        <v>0.99</v>
      </c>
      <c r="BG46" s="2" t="s">
        <v>113</v>
      </c>
    </row>
    <row r="47" spans="1:59" ht="43.5" hidden="1" x14ac:dyDescent="0.35">
      <c r="A47" s="2" t="s">
        <v>92</v>
      </c>
      <c r="B47" s="2" t="s">
        <v>28</v>
      </c>
      <c r="C47" s="2" t="s">
        <v>93</v>
      </c>
      <c r="D47" s="2" t="s">
        <v>94</v>
      </c>
      <c r="E47" s="2" t="s">
        <v>367</v>
      </c>
      <c r="F47" s="2" t="s">
        <v>381</v>
      </c>
      <c r="G47" s="2" t="s">
        <v>97</v>
      </c>
      <c r="H47" s="2" t="s">
        <v>382</v>
      </c>
      <c r="I47" s="2">
        <v>2</v>
      </c>
      <c r="J47" s="2" t="s">
        <v>126</v>
      </c>
      <c r="K47" s="2" t="s">
        <v>383</v>
      </c>
      <c r="L47" s="2">
        <v>2</v>
      </c>
      <c r="M47" s="5">
        <v>46281</v>
      </c>
      <c r="N47" s="6">
        <v>46281.378564814811</v>
      </c>
      <c r="O47" s="6">
        <v>46281.37872685185</v>
      </c>
      <c r="P47" s="2">
        <v>14</v>
      </c>
      <c r="Q47" s="2" t="s">
        <v>371</v>
      </c>
      <c r="R47" s="2" t="s">
        <v>102</v>
      </c>
      <c r="S47" s="2" t="s">
        <v>372</v>
      </c>
      <c r="T47" s="2" t="s">
        <v>373</v>
      </c>
      <c r="U47" s="2" t="s">
        <v>105</v>
      </c>
      <c r="V47" s="2" t="s">
        <v>97</v>
      </c>
      <c r="W47" s="2" t="s">
        <v>128</v>
      </c>
      <c r="X47" s="2" t="s">
        <v>129</v>
      </c>
      <c r="Y47" s="2" t="s">
        <v>130</v>
      </c>
      <c r="Z47" s="2" t="s">
        <v>131</v>
      </c>
      <c r="AA47" s="2" t="s">
        <v>132</v>
      </c>
      <c r="AB47" s="2" t="s">
        <v>110</v>
      </c>
      <c r="AC47" s="2" t="s">
        <v>133</v>
      </c>
      <c r="AD47" s="2">
        <v>0</v>
      </c>
      <c r="AE47" s="2">
        <v>0</v>
      </c>
      <c r="AF47" s="2">
        <v>2</v>
      </c>
      <c r="AG47" s="2" t="s">
        <v>112</v>
      </c>
      <c r="AH47" s="2" t="s">
        <v>112</v>
      </c>
      <c r="AI47" s="2"/>
      <c r="AJ47" s="2"/>
      <c r="AK47" s="2">
        <v>350</v>
      </c>
      <c r="AL47" s="2">
        <v>14</v>
      </c>
      <c r="AM47" s="2">
        <v>0</v>
      </c>
      <c r="AN47" s="2"/>
      <c r="AO47" s="2" t="s">
        <v>114</v>
      </c>
      <c r="AP47" s="2"/>
      <c r="AQ47" s="2" t="s">
        <v>374</v>
      </c>
      <c r="AR47" s="2" t="s">
        <v>30</v>
      </c>
      <c r="AS47" s="2" t="s">
        <v>31</v>
      </c>
      <c r="AT47" s="2" t="s">
        <v>32</v>
      </c>
      <c r="AU47" s="2" t="s">
        <v>375</v>
      </c>
      <c r="AV47" s="2" t="s">
        <v>33</v>
      </c>
      <c r="AW47" s="2" t="s">
        <v>376</v>
      </c>
      <c r="AX47" s="2" t="s">
        <v>377</v>
      </c>
      <c r="AY47" s="2" t="s">
        <v>119</v>
      </c>
      <c r="AZ47" s="2" t="s">
        <v>378</v>
      </c>
      <c r="BA47" s="2" t="s">
        <v>379</v>
      </c>
      <c r="BB47" s="2" t="s">
        <v>380</v>
      </c>
      <c r="BC47" s="2" t="s">
        <v>123</v>
      </c>
      <c r="BD47" s="5">
        <v>46281</v>
      </c>
      <c r="BE47" s="6">
        <v>46281.381504629629</v>
      </c>
      <c r="BF47" s="2">
        <v>0.99</v>
      </c>
      <c r="BG47" s="2" t="s">
        <v>113</v>
      </c>
    </row>
    <row r="48" spans="1:59" ht="43.5" hidden="1" x14ac:dyDescent="0.35">
      <c r="A48" s="2" t="s">
        <v>92</v>
      </c>
      <c r="B48" s="2" t="s">
        <v>28</v>
      </c>
      <c r="C48" s="2" t="s">
        <v>93</v>
      </c>
      <c r="D48" s="2" t="s">
        <v>94</v>
      </c>
      <c r="E48" s="2" t="s">
        <v>367</v>
      </c>
      <c r="F48" s="2" t="s">
        <v>384</v>
      </c>
      <c r="G48" s="2" t="s">
        <v>135</v>
      </c>
      <c r="H48" s="2" t="s">
        <v>385</v>
      </c>
      <c r="I48" s="2">
        <v>3</v>
      </c>
      <c r="J48" s="2" t="s">
        <v>137</v>
      </c>
      <c r="K48" s="2" t="s">
        <v>386</v>
      </c>
      <c r="L48" s="2">
        <v>3</v>
      </c>
      <c r="M48" s="5">
        <v>46281</v>
      </c>
      <c r="N48" s="6">
        <v>46281.37872685185</v>
      </c>
      <c r="O48" s="6">
        <v>46281.378784722219</v>
      </c>
      <c r="P48" s="2">
        <v>5</v>
      </c>
      <c r="Q48" s="2" t="s">
        <v>371</v>
      </c>
      <c r="R48" s="2" t="s">
        <v>102</v>
      </c>
      <c r="S48" s="2" t="s">
        <v>372</v>
      </c>
      <c r="T48" s="2" t="s">
        <v>373</v>
      </c>
      <c r="U48" s="2" t="s">
        <v>139</v>
      </c>
      <c r="V48" s="2" t="s">
        <v>135</v>
      </c>
      <c r="W48" s="2" t="s">
        <v>140</v>
      </c>
      <c r="X48" s="2" t="s">
        <v>141</v>
      </c>
      <c r="Y48" s="2" t="s">
        <v>142</v>
      </c>
      <c r="Z48" s="2" t="s">
        <v>143</v>
      </c>
      <c r="AA48" s="2" t="s">
        <v>144</v>
      </c>
      <c r="AB48" s="2" t="s">
        <v>110</v>
      </c>
      <c r="AC48" s="2" t="s">
        <v>145</v>
      </c>
      <c r="AD48" s="2">
        <v>0</v>
      </c>
      <c r="AE48" s="2">
        <v>1</v>
      </c>
      <c r="AF48" s="2">
        <v>0</v>
      </c>
      <c r="AG48" s="2" t="s">
        <v>112</v>
      </c>
      <c r="AH48" s="2" t="s">
        <v>112</v>
      </c>
      <c r="AI48" s="2"/>
      <c r="AJ48" s="2"/>
      <c r="AK48" s="2">
        <v>350</v>
      </c>
      <c r="AL48" s="2">
        <v>5</v>
      </c>
      <c r="AM48" s="2">
        <v>0</v>
      </c>
      <c r="AN48" s="2"/>
      <c r="AO48" s="2" t="s">
        <v>114</v>
      </c>
      <c r="AP48" s="2"/>
      <c r="AQ48" s="2" t="s">
        <v>374</v>
      </c>
      <c r="AR48" s="2" t="s">
        <v>30</v>
      </c>
      <c r="AS48" s="2" t="s">
        <v>31</v>
      </c>
      <c r="AT48" s="2" t="s">
        <v>32</v>
      </c>
      <c r="AU48" s="2" t="s">
        <v>375</v>
      </c>
      <c r="AV48" s="2" t="s">
        <v>33</v>
      </c>
      <c r="AW48" s="2" t="s">
        <v>376</v>
      </c>
      <c r="AX48" s="2" t="s">
        <v>377</v>
      </c>
      <c r="AY48" s="2" t="s">
        <v>119</v>
      </c>
      <c r="AZ48" s="2" t="s">
        <v>378</v>
      </c>
      <c r="BA48" s="2" t="s">
        <v>379</v>
      </c>
      <c r="BB48" s="2" t="s">
        <v>380</v>
      </c>
      <c r="BC48" s="2" t="s">
        <v>123</v>
      </c>
      <c r="BD48" s="5">
        <v>46281</v>
      </c>
      <c r="BE48" s="6">
        <v>46281.381562499999</v>
      </c>
      <c r="BF48" s="2">
        <v>0.99</v>
      </c>
      <c r="BG48" s="2" t="s">
        <v>113</v>
      </c>
    </row>
    <row r="49" spans="1:59" ht="43.5" hidden="1" x14ac:dyDescent="0.35">
      <c r="A49" s="2" t="s">
        <v>92</v>
      </c>
      <c r="B49" s="2" t="s">
        <v>28</v>
      </c>
      <c r="C49" s="2" t="s">
        <v>93</v>
      </c>
      <c r="D49" s="2" t="s">
        <v>94</v>
      </c>
      <c r="E49" s="2" t="s">
        <v>367</v>
      </c>
      <c r="F49" s="2" t="s">
        <v>387</v>
      </c>
      <c r="G49" s="2" t="s">
        <v>135</v>
      </c>
      <c r="H49" s="2" t="s">
        <v>388</v>
      </c>
      <c r="I49" s="2">
        <v>4</v>
      </c>
      <c r="J49" s="2" t="s">
        <v>148</v>
      </c>
      <c r="K49" s="2" t="s">
        <v>389</v>
      </c>
      <c r="L49" s="2">
        <v>4</v>
      </c>
      <c r="M49" s="5">
        <v>46281</v>
      </c>
      <c r="N49" s="6">
        <v>46281.378784722219</v>
      </c>
      <c r="O49" s="6">
        <v>46281.378923611112</v>
      </c>
      <c r="P49" s="2">
        <v>12</v>
      </c>
      <c r="Q49" s="2" t="s">
        <v>371</v>
      </c>
      <c r="R49" s="2" t="s">
        <v>102</v>
      </c>
      <c r="S49" s="2" t="s">
        <v>372</v>
      </c>
      <c r="T49" s="2" t="s">
        <v>373</v>
      </c>
      <c r="U49" s="2" t="s">
        <v>139</v>
      </c>
      <c r="V49" s="2" t="s">
        <v>135</v>
      </c>
      <c r="W49" s="2" t="s">
        <v>140</v>
      </c>
      <c r="X49" s="2" t="s">
        <v>141</v>
      </c>
      <c r="Y49" s="2" t="s">
        <v>108</v>
      </c>
      <c r="Z49" s="2" t="s">
        <v>150</v>
      </c>
      <c r="AA49" s="2" t="s">
        <v>109</v>
      </c>
      <c r="AB49" s="2" t="s">
        <v>110</v>
      </c>
      <c r="AC49" s="2" t="s">
        <v>111</v>
      </c>
      <c r="AD49" s="2">
        <v>12</v>
      </c>
      <c r="AE49" s="2">
        <v>0</v>
      </c>
      <c r="AF49" s="2">
        <v>0</v>
      </c>
      <c r="AG49" s="2" t="s">
        <v>112</v>
      </c>
      <c r="AH49" s="2" t="s">
        <v>113</v>
      </c>
      <c r="AI49" s="2"/>
      <c r="AJ49" s="2"/>
      <c r="AK49" s="2">
        <v>350</v>
      </c>
      <c r="AL49" s="2">
        <v>12</v>
      </c>
      <c r="AM49" s="2">
        <v>0</v>
      </c>
      <c r="AN49" s="2"/>
      <c r="AO49" s="2" t="s">
        <v>114</v>
      </c>
      <c r="AP49" s="2"/>
      <c r="AQ49" s="2" t="s">
        <v>374</v>
      </c>
      <c r="AR49" s="2" t="s">
        <v>30</v>
      </c>
      <c r="AS49" s="2" t="s">
        <v>31</v>
      </c>
      <c r="AT49" s="2" t="s">
        <v>32</v>
      </c>
      <c r="AU49" s="2" t="s">
        <v>375</v>
      </c>
      <c r="AV49" s="2" t="s">
        <v>33</v>
      </c>
      <c r="AW49" s="2" t="s">
        <v>376</v>
      </c>
      <c r="AX49" s="2" t="s">
        <v>377</v>
      </c>
      <c r="AY49" s="2" t="s">
        <v>119</v>
      </c>
      <c r="AZ49" s="2" t="s">
        <v>378</v>
      </c>
      <c r="BA49" s="2" t="s">
        <v>379</v>
      </c>
      <c r="BB49" s="2" t="s">
        <v>380</v>
      </c>
      <c r="BC49" s="2" t="s">
        <v>123</v>
      </c>
      <c r="BD49" s="5">
        <v>46281</v>
      </c>
      <c r="BE49" s="6">
        <v>46281.381701388891</v>
      </c>
      <c r="BF49" s="2">
        <v>0.99</v>
      </c>
      <c r="BG49" s="2" t="s">
        <v>113</v>
      </c>
    </row>
    <row r="50" spans="1:59" ht="43.5" hidden="1" x14ac:dyDescent="0.35">
      <c r="A50" s="2" t="s">
        <v>92</v>
      </c>
      <c r="B50" s="2" t="s">
        <v>28</v>
      </c>
      <c r="C50" s="2" t="s">
        <v>93</v>
      </c>
      <c r="D50" s="2" t="s">
        <v>94</v>
      </c>
      <c r="E50" s="2" t="s">
        <v>367</v>
      </c>
      <c r="F50" s="2" t="s">
        <v>390</v>
      </c>
      <c r="G50" s="2" t="s">
        <v>135</v>
      </c>
      <c r="H50" s="2" t="s">
        <v>391</v>
      </c>
      <c r="I50" s="2">
        <v>5</v>
      </c>
      <c r="J50" s="2" t="s">
        <v>392</v>
      </c>
      <c r="K50" s="2" t="s">
        <v>393</v>
      </c>
      <c r="L50" s="2">
        <v>5</v>
      </c>
      <c r="M50" s="5">
        <v>46281</v>
      </c>
      <c r="N50" s="6">
        <v>46281.378923611112</v>
      </c>
      <c r="O50" s="6">
        <v>46281.391770833332</v>
      </c>
      <c r="P50" s="2">
        <v>1110</v>
      </c>
      <c r="Q50" s="2" t="s">
        <v>371</v>
      </c>
      <c r="R50" s="2" t="s">
        <v>102</v>
      </c>
      <c r="S50" s="2" t="s">
        <v>372</v>
      </c>
      <c r="T50" s="2" t="s">
        <v>373</v>
      </c>
      <c r="U50" s="2" t="s">
        <v>139</v>
      </c>
      <c r="V50" s="2" t="s">
        <v>135</v>
      </c>
      <c r="W50" s="2" t="s">
        <v>155</v>
      </c>
      <c r="X50" s="2" t="s">
        <v>156</v>
      </c>
      <c r="Y50" s="2" t="s">
        <v>130</v>
      </c>
      <c r="Z50" s="2" t="s">
        <v>394</v>
      </c>
      <c r="AA50" s="2" t="s">
        <v>253</v>
      </c>
      <c r="AB50" s="2" t="s">
        <v>159</v>
      </c>
      <c r="AC50" s="2" t="s">
        <v>133</v>
      </c>
      <c r="AD50" s="2">
        <v>0</v>
      </c>
      <c r="AE50" s="2">
        <v>0</v>
      </c>
      <c r="AF50" s="2">
        <v>0</v>
      </c>
      <c r="AG50" s="2" t="s">
        <v>112</v>
      </c>
      <c r="AH50" s="2" t="s">
        <v>112</v>
      </c>
      <c r="AI50" s="2"/>
      <c r="AJ50" s="2"/>
      <c r="AK50" s="2">
        <v>1110000</v>
      </c>
      <c r="AL50" s="2">
        <v>0</v>
      </c>
      <c r="AM50" s="2">
        <v>1110</v>
      </c>
      <c r="AN50" s="2" t="s">
        <v>395</v>
      </c>
      <c r="AO50" s="7" t="s">
        <v>255</v>
      </c>
      <c r="AP50" s="2" t="s">
        <v>396</v>
      </c>
      <c r="AQ50" s="2" t="s">
        <v>374</v>
      </c>
      <c r="AR50" s="2" t="s">
        <v>30</v>
      </c>
      <c r="AS50" s="2" t="s">
        <v>31</v>
      </c>
      <c r="AT50" s="2" t="s">
        <v>32</v>
      </c>
      <c r="AU50" s="2" t="s">
        <v>375</v>
      </c>
      <c r="AV50" s="2" t="s">
        <v>33</v>
      </c>
      <c r="AW50" s="2" t="s">
        <v>376</v>
      </c>
      <c r="AX50" s="2" t="s">
        <v>377</v>
      </c>
      <c r="AY50" s="2" t="s">
        <v>119</v>
      </c>
      <c r="AZ50" s="2" t="s">
        <v>378</v>
      </c>
      <c r="BA50" s="2" t="s">
        <v>379</v>
      </c>
      <c r="BB50" s="2" t="s">
        <v>380</v>
      </c>
      <c r="BC50" s="2" t="s">
        <v>123</v>
      </c>
      <c r="BD50" s="5">
        <v>46281</v>
      </c>
      <c r="BE50" s="6">
        <v>46281.394548611112</v>
      </c>
      <c r="BF50" s="2">
        <v>0.99</v>
      </c>
      <c r="BG50" s="2" t="s">
        <v>113</v>
      </c>
    </row>
    <row r="51" spans="1:59" ht="43.5" hidden="1" x14ac:dyDescent="0.35">
      <c r="A51" s="2" t="s">
        <v>92</v>
      </c>
      <c r="B51" s="2" t="s">
        <v>28</v>
      </c>
      <c r="C51" s="2" t="s">
        <v>93</v>
      </c>
      <c r="D51" s="2" t="s">
        <v>94</v>
      </c>
      <c r="E51" s="2" t="s">
        <v>367</v>
      </c>
      <c r="F51" s="2" t="s">
        <v>397</v>
      </c>
      <c r="G51" s="2" t="s">
        <v>135</v>
      </c>
      <c r="H51" s="2" t="s">
        <v>398</v>
      </c>
      <c r="I51" s="2">
        <v>6</v>
      </c>
      <c r="J51" s="2" t="s">
        <v>399</v>
      </c>
      <c r="K51" s="2" t="s">
        <v>400</v>
      </c>
      <c r="L51" s="2">
        <v>6</v>
      </c>
      <c r="M51" s="5">
        <v>46281</v>
      </c>
      <c r="N51" s="6">
        <v>46281.391770833332</v>
      </c>
      <c r="O51" s="6">
        <v>46281.392638888887</v>
      </c>
      <c r="P51" s="2">
        <v>75</v>
      </c>
      <c r="Q51" s="2" t="s">
        <v>371</v>
      </c>
      <c r="R51" s="2" t="s">
        <v>102</v>
      </c>
      <c r="S51" s="2" t="s">
        <v>372</v>
      </c>
      <c r="T51" s="2" t="s">
        <v>373</v>
      </c>
      <c r="U51" s="2" t="s">
        <v>139</v>
      </c>
      <c r="V51" s="2" t="s">
        <v>135</v>
      </c>
      <c r="W51" s="2" t="s">
        <v>401</v>
      </c>
      <c r="X51" s="2" t="s">
        <v>402</v>
      </c>
      <c r="Y51" s="2" t="s">
        <v>142</v>
      </c>
      <c r="Z51" s="2" t="s">
        <v>403</v>
      </c>
      <c r="AA51" s="2" t="s">
        <v>144</v>
      </c>
      <c r="AB51" s="2" t="s">
        <v>110</v>
      </c>
      <c r="AC51" s="2" t="s">
        <v>145</v>
      </c>
      <c r="AD51" s="2">
        <v>0</v>
      </c>
      <c r="AE51" s="2">
        <v>3</v>
      </c>
      <c r="AF51" s="2">
        <v>0</v>
      </c>
      <c r="AG51" s="2" t="s">
        <v>112</v>
      </c>
      <c r="AH51" s="2" t="s">
        <v>112</v>
      </c>
      <c r="AI51" s="2"/>
      <c r="AJ51" s="2"/>
      <c r="AK51" s="2">
        <v>350</v>
      </c>
      <c r="AL51" s="2">
        <v>45</v>
      </c>
      <c r="AM51" s="2">
        <v>30</v>
      </c>
      <c r="AN51" s="2" t="s">
        <v>404</v>
      </c>
      <c r="AO51" s="2" t="s">
        <v>114</v>
      </c>
      <c r="AP51" s="2" t="s">
        <v>405</v>
      </c>
      <c r="AQ51" s="2" t="s">
        <v>374</v>
      </c>
      <c r="AR51" s="2" t="s">
        <v>30</v>
      </c>
      <c r="AS51" s="2" t="s">
        <v>31</v>
      </c>
      <c r="AT51" s="2" t="s">
        <v>32</v>
      </c>
      <c r="AU51" s="2" t="s">
        <v>375</v>
      </c>
      <c r="AV51" s="2" t="s">
        <v>33</v>
      </c>
      <c r="AW51" s="2" t="s">
        <v>376</v>
      </c>
      <c r="AX51" s="2" t="s">
        <v>377</v>
      </c>
      <c r="AY51" s="2" t="s">
        <v>119</v>
      </c>
      <c r="AZ51" s="2" t="s">
        <v>378</v>
      </c>
      <c r="BA51" s="2" t="s">
        <v>379</v>
      </c>
      <c r="BB51" s="2" t="s">
        <v>380</v>
      </c>
      <c r="BC51" s="2" t="s">
        <v>123</v>
      </c>
      <c r="BD51" s="5">
        <v>46281</v>
      </c>
      <c r="BE51" s="6">
        <v>46281.395416666674</v>
      </c>
      <c r="BF51" s="2">
        <v>0.99</v>
      </c>
      <c r="BG51" s="2" t="s">
        <v>113</v>
      </c>
    </row>
    <row r="52" spans="1:59" ht="43.5" hidden="1" x14ac:dyDescent="0.35">
      <c r="A52" s="2" t="s">
        <v>92</v>
      </c>
      <c r="B52" s="2" t="s">
        <v>28</v>
      </c>
      <c r="C52" s="2" t="s">
        <v>93</v>
      </c>
      <c r="D52" s="2" t="s">
        <v>94</v>
      </c>
      <c r="E52" s="2" t="s">
        <v>367</v>
      </c>
      <c r="F52" s="2" t="s">
        <v>406</v>
      </c>
      <c r="G52" s="2" t="s">
        <v>161</v>
      </c>
      <c r="H52" s="2" t="s">
        <v>407</v>
      </c>
      <c r="I52" s="2">
        <v>7</v>
      </c>
      <c r="J52" s="2" t="s">
        <v>163</v>
      </c>
      <c r="K52" s="2" t="s">
        <v>408</v>
      </c>
      <c r="L52" s="2">
        <v>7</v>
      </c>
      <c r="M52" s="5">
        <v>46281</v>
      </c>
      <c r="N52" s="6">
        <v>46281.392638888887</v>
      </c>
      <c r="O52" s="6">
        <v>46281.392708333333</v>
      </c>
      <c r="P52" s="2">
        <v>6</v>
      </c>
      <c r="Q52" s="2" t="s">
        <v>371</v>
      </c>
      <c r="R52" s="2" t="s">
        <v>102</v>
      </c>
      <c r="S52" s="2" t="s">
        <v>372</v>
      </c>
      <c r="T52" s="2" t="s">
        <v>373</v>
      </c>
      <c r="U52" s="2" t="s">
        <v>165</v>
      </c>
      <c r="V52" s="2" t="s">
        <v>161</v>
      </c>
      <c r="W52" s="2" t="s">
        <v>166</v>
      </c>
      <c r="X52" s="2" t="s">
        <v>167</v>
      </c>
      <c r="Y52" s="2" t="s">
        <v>142</v>
      </c>
      <c r="Z52" s="2" t="s">
        <v>168</v>
      </c>
      <c r="AA52" s="2" t="s">
        <v>144</v>
      </c>
      <c r="AB52" s="2" t="s">
        <v>110</v>
      </c>
      <c r="AC52" s="2" t="s">
        <v>145</v>
      </c>
      <c r="AD52" s="2">
        <v>0</v>
      </c>
      <c r="AE52" s="2">
        <v>1</v>
      </c>
      <c r="AF52" s="2">
        <v>0</v>
      </c>
      <c r="AG52" s="2" t="s">
        <v>112</v>
      </c>
      <c r="AH52" s="2" t="s">
        <v>112</v>
      </c>
      <c r="AI52" s="2"/>
      <c r="AJ52" s="2"/>
      <c r="AK52" s="2">
        <v>350</v>
      </c>
      <c r="AL52" s="2">
        <v>6</v>
      </c>
      <c r="AM52" s="2">
        <v>0</v>
      </c>
      <c r="AN52" s="2"/>
      <c r="AO52" s="2" t="s">
        <v>114</v>
      </c>
      <c r="AP52" s="2"/>
      <c r="AQ52" s="2" t="s">
        <v>374</v>
      </c>
      <c r="AR52" s="2" t="s">
        <v>30</v>
      </c>
      <c r="AS52" s="2" t="s">
        <v>31</v>
      </c>
      <c r="AT52" s="2" t="s">
        <v>32</v>
      </c>
      <c r="AU52" s="2" t="s">
        <v>375</v>
      </c>
      <c r="AV52" s="2" t="s">
        <v>33</v>
      </c>
      <c r="AW52" s="2" t="s">
        <v>376</v>
      </c>
      <c r="AX52" s="2" t="s">
        <v>377</v>
      </c>
      <c r="AY52" s="2" t="s">
        <v>119</v>
      </c>
      <c r="AZ52" s="2" t="s">
        <v>378</v>
      </c>
      <c r="BA52" s="2" t="s">
        <v>379</v>
      </c>
      <c r="BB52" s="2" t="s">
        <v>380</v>
      </c>
      <c r="BC52" s="2" t="s">
        <v>123</v>
      </c>
      <c r="BD52" s="5">
        <v>46281</v>
      </c>
      <c r="BE52" s="6">
        <v>46281.395486111112</v>
      </c>
      <c r="BF52" s="2">
        <v>0.99</v>
      </c>
      <c r="BG52" s="2" t="s">
        <v>113</v>
      </c>
    </row>
    <row r="53" spans="1:59" ht="43.5" hidden="1" x14ac:dyDescent="0.35">
      <c r="A53" s="2" t="s">
        <v>92</v>
      </c>
      <c r="B53" s="2" t="s">
        <v>28</v>
      </c>
      <c r="C53" s="2" t="s">
        <v>93</v>
      </c>
      <c r="D53" s="2" t="s">
        <v>94</v>
      </c>
      <c r="E53" s="2" t="s">
        <v>367</v>
      </c>
      <c r="F53" s="2" t="s">
        <v>409</v>
      </c>
      <c r="G53" s="2" t="s">
        <v>161</v>
      </c>
      <c r="H53" s="2" t="s">
        <v>410</v>
      </c>
      <c r="I53" s="2">
        <v>8</v>
      </c>
      <c r="J53" s="2" t="s">
        <v>171</v>
      </c>
      <c r="K53" s="2" t="s">
        <v>411</v>
      </c>
      <c r="L53" s="2">
        <v>8</v>
      </c>
      <c r="M53" s="5">
        <v>46281</v>
      </c>
      <c r="N53" s="6">
        <v>46281.392708333333</v>
      </c>
      <c r="O53" s="6">
        <v>46281.392893518518</v>
      </c>
      <c r="P53" s="2">
        <v>16</v>
      </c>
      <c r="Q53" s="2" t="s">
        <v>371</v>
      </c>
      <c r="R53" s="2" t="s">
        <v>102</v>
      </c>
      <c r="S53" s="2" t="s">
        <v>372</v>
      </c>
      <c r="T53" s="2" t="s">
        <v>373</v>
      </c>
      <c r="U53" s="2" t="s">
        <v>165</v>
      </c>
      <c r="V53" s="2" t="s">
        <v>161</v>
      </c>
      <c r="W53" s="2" t="s">
        <v>173</v>
      </c>
      <c r="X53" s="2" t="s">
        <v>174</v>
      </c>
      <c r="Y53" s="2" t="s">
        <v>142</v>
      </c>
      <c r="Z53" s="2" t="s">
        <v>175</v>
      </c>
      <c r="AA53" s="2" t="s">
        <v>144</v>
      </c>
      <c r="AB53" s="2" t="s">
        <v>110</v>
      </c>
      <c r="AC53" s="2" t="s">
        <v>145</v>
      </c>
      <c r="AD53" s="2">
        <v>0</v>
      </c>
      <c r="AE53" s="2">
        <v>2</v>
      </c>
      <c r="AF53" s="2">
        <v>0</v>
      </c>
      <c r="AG53" s="2" t="s">
        <v>112</v>
      </c>
      <c r="AH53" s="2" t="s">
        <v>112</v>
      </c>
      <c r="AI53" s="2"/>
      <c r="AJ53" s="2"/>
      <c r="AK53" s="2">
        <v>350</v>
      </c>
      <c r="AL53" s="2">
        <v>16</v>
      </c>
      <c r="AM53" s="2">
        <v>0</v>
      </c>
      <c r="AN53" s="2"/>
      <c r="AO53" s="2" t="s">
        <v>114</v>
      </c>
      <c r="AP53" s="2"/>
      <c r="AQ53" s="2" t="s">
        <v>374</v>
      </c>
      <c r="AR53" s="2" t="s">
        <v>30</v>
      </c>
      <c r="AS53" s="2" t="s">
        <v>31</v>
      </c>
      <c r="AT53" s="2" t="s">
        <v>32</v>
      </c>
      <c r="AU53" s="2" t="s">
        <v>375</v>
      </c>
      <c r="AV53" s="2" t="s">
        <v>33</v>
      </c>
      <c r="AW53" s="2" t="s">
        <v>376</v>
      </c>
      <c r="AX53" s="2" t="s">
        <v>377</v>
      </c>
      <c r="AY53" s="2" t="s">
        <v>119</v>
      </c>
      <c r="AZ53" s="2" t="s">
        <v>378</v>
      </c>
      <c r="BA53" s="2" t="s">
        <v>379</v>
      </c>
      <c r="BB53" s="2" t="s">
        <v>380</v>
      </c>
      <c r="BC53" s="2" t="s">
        <v>123</v>
      </c>
      <c r="BD53" s="5">
        <v>46281</v>
      </c>
      <c r="BE53" s="6">
        <v>46281.395671296297</v>
      </c>
      <c r="BF53" s="2">
        <v>0.99</v>
      </c>
      <c r="BG53" s="2" t="s">
        <v>113</v>
      </c>
    </row>
    <row r="54" spans="1:59" ht="43.5" hidden="1" x14ac:dyDescent="0.35">
      <c r="A54" s="2" t="s">
        <v>92</v>
      </c>
      <c r="B54" s="2" t="s">
        <v>28</v>
      </c>
      <c r="C54" s="2" t="s">
        <v>93</v>
      </c>
      <c r="D54" s="2" t="s">
        <v>94</v>
      </c>
      <c r="E54" s="2" t="s">
        <v>367</v>
      </c>
      <c r="F54" s="2" t="s">
        <v>412</v>
      </c>
      <c r="G54" s="2" t="s">
        <v>161</v>
      </c>
      <c r="H54" s="2" t="s">
        <v>413</v>
      </c>
      <c r="I54" s="2">
        <v>9</v>
      </c>
      <c r="J54" s="2" t="s">
        <v>178</v>
      </c>
      <c r="K54" s="2" t="s">
        <v>414</v>
      </c>
      <c r="L54" s="2">
        <v>9</v>
      </c>
      <c r="M54" s="5">
        <v>46281</v>
      </c>
      <c r="N54" s="6">
        <v>46281.392893518518</v>
      </c>
      <c r="O54" s="6">
        <v>46281.393125000002</v>
      </c>
      <c r="P54" s="2">
        <v>20</v>
      </c>
      <c r="Q54" s="2" t="s">
        <v>371</v>
      </c>
      <c r="R54" s="2" t="s">
        <v>102</v>
      </c>
      <c r="S54" s="2" t="s">
        <v>372</v>
      </c>
      <c r="T54" s="2" t="s">
        <v>373</v>
      </c>
      <c r="U54" s="2" t="s">
        <v>165</v>
      </c>
      <c r="V54" s="2" t="s">
        <v>161</v>
      </c>
      <c r="W54" s="2" t="s">
        <v>180</v>
      </c>
      <c r="X54" s="2" t="s">
        <v>181</v>
      </c>
      <c r="Y54" s="2" t="s">
        <v>108</v>
      </c>
      <c r="Z54" s="2" t="s">
        <v>182</v>
      </c>
      <c r="AA54" s="2" t="s">
        <v>109</v>
      </c>
      <c r="AB54" s="2" t="s">
        <v>110</v>
      </c>
      <c r="AC54" s="2" t="s">
        <v>111</v>
      </c>
      <c r="AD54" s="2">
        <v>16</v>
      </c>
      <c r="AE54" s="2">
        <v>2</v>
      </c>
      <c r="AF54" s="2">
        <v>0</v>
      </c>
      <c r="AG54" s="2" t="s">
        <v>112</v>
      </c>
      <c r="AH54" s="2" t="s">
        <v>113</v>
      </c>
      <c r="AI54" s="2"/>
      <c r="AJ54" s="2"/>
      <c r="AK54" s="2">
        <v>350</v>
      </c>
      <c r="AL54" s="2">
        <v>20</v>
      </c>
      <c r="AM54" s="2">
        <v>0</v>
      </c>
      <c r="AN54" s="2"/>
      <c r="AO54" s="2" t="s">
        <v>114</v>
      </c>
      <c r="AP54" s="2"/>
      <c r="AQ54" s="2" t="s">
        <v>374</v>
      </c>
      <c r="AR54" s="2" t="s">
        <v>30</v>
      </c>
      <c r="AS54" s="2" t="s">
        <v>31</v>
      </c>
      <c r="AT54" s="2" t="s">
        <v>32</v>
      </c>
      <c r="AU54" s="2" t="s">
        <v>375</v>
      </c>
      <c r="AV54" s="2" t="s">
        <v>33</v>
      </c>
      <c r="AW54" s="2" t="s">
        <v>376</v>
      </c>
      <c r="AX54" s="2" t="s">
        <v>377</v>
      </c>
      <c r="AY54" s="2" t="s">
        <v>119</v>
      </c>
      <c r="AZ54" s="2" t="s">
        <v>378</v>
      </c>
      <c r="BA54" s="2" t="s">
        <v>379</v>
      </c>
      <c r="BB54" s="2" t="s">
        <v>380</v>
      </c>
      <c r="BC54" s="2" t="s">
        <v>123</v>
      </c>
      <c r="BD54" s="5">
        <v>46281</v>
      </c>
      <c r="BE54" s="6">
        <v>46281.395902777767</v>
      </c>
      <c r="BF54" s="2">
        <v>0.99</v>
      </c>
      <c r="BG54" s="2" t="s">
        <v>113</v>
      </c>
    </row>
    <row r="55" spans="1:59" ht="43.5" hidden="1" x14ac:dyDescent="0.35">
      <c r="A55" s="2" t="s">
        <v>92</v>
      </c>
      <c r="B55" s="2" t="s">
        <v>28</v>
      </c>
      <c r="C55" s="2" t="s">
        <v>93</v>
      </c>
      <c r="D55" s="2" t="s">
        <v>94</v>
      </c>
      <c r="E55" s="2" t="s">
        <v>367</v>
      </c>
      <c r="F55" s="2" t="s">
        <v>415</v>
      </c>
      <c r="G55" s="2" t="s">
        <v>184</v>
      </c>
      <c r="H55" s="2" t="s">
        <v>416</v>
      </c>
      <c r="I55" s="2">
        <v>10</v>
      </c>
      <c r="J55" s="2" t="s">
        <v>186</v>
      </c>
      <c r="K55" s="2" t="s">
        <v>417</v>
      </c>
      <c r="L55" s="2">
        <v>10</v>
      </c>
      <c r="M55" s="5">
        <v>46283</v>
      </c>
      <c r="N55" s="6">
        <v>46283.612500000003</v>
      </c>
      <c r="O55" s="6">
        <v>46283.612615740742</v>
      </c>
      <c r="P55" s="2">
        <v>10</v>
      </c>
      <c r="Q55" s="2" t="s">
        <v>371</v>
      </c>
      <c r="R55" s="2" t="s">
        <v>102</v>
      </c>
      <c r="S55" s="2" t="s">
        <v>372</v>
      </c>
      <c r="T55" s="2" t="s">
        <v>373</v>
      </c>
      <c r="U55" s="2" t="s">
        <v>188</v>
      </c>
      <c r="V55" s="2" t="s">
        <v>184</v>
      </c>
      <c r="W55" s="2" t="s">
        <v>189</v>
      </c>
      <c r="X55" s="2" t="s">
        <v>190</v>
      </c>
      <c r="Y55" s="2" t="s">
        <v>108</v>
      </c>
      <c r="Z55" s="2" t="s">
        <v>5</v>
      </c>
      <c r="AA55" s="2" t="s">
        <v>109</v>
      </c>
      <c r="AB55" s="2" t="s">
        <v>110</v>
      </c>
      <c r="AC55" s="2" t="s">
        <v>111</v>
      </c>
      <c r="AD55" s="2">
        <v>14</v>
      </c>
      <c r="AE55" s="2">
        <v>0</v>
      </c>
      <c r="AF55" s="2">
        <v>0</v>
      </c>
      <c r="AG55" s="2" t="s">
        <v>112</v>
      </c>
      <c r="AH55" s="2" t="s">
        <v>113</v>
      </c>
      <c r="AI55" s="2"/>
      <c r="AJ55" s="2"/>
      <c r="AK55" s="2">
        <v>350</v>
      </c>
      <c r="AL55" s="2">
        <v>10</v>
      </c>
      <c r="AM55" s="2">
        <v>0</v>
      </c>
      <c r="AN55" s="2"/>
      <c r="AO55" s="2" t="s">
        <v>114</v>
      </c>
      <c r="AP55" s="2"/>
      <c r="AQ55" s="2" t="s">
        <v>374</v>
      </c>
      <c r="AR55" s="2" t="s">
        <v>30</v>
      </c>
      <c r="AS55" s="2" t="s">
        <v>31</v>
      </c>
      <c r="AT55" s="2" t="s">
        <v>32</v>
      </c>
      <c r="AU55" s="2" t="s">
        <v>375</v>
      </c>
      <c r="AV55" s="2" t="s">
        <v>33</v>
      </c>
      <c r="AW55" s="2" t="s">
        <v>376</v>
      </c>
      <c r="AX55" s="2" t="s">
        <v>377</v>
      </c>
      <c r="AY55" s="2" t="s">
        <v>119</v>
      </c>
      <c r="AZ55" s="2" t="s">
        <v>378</v>
      </c>
      <c r="BA55" s="2" t="s">
        <v>379</v>
      </c>
      <c r="BB55" s="2" t="s">
        <v>380</v>
      </c>
      <c r="BC55" s="2" t="s">
        <v>123</v>
      </c>
      <c r="BD55" s="5">
        <v>46283</v>
      </c>
      <c r="BE55" s="6">
        <v>46283.615393518521</v>
      </c>
      <c r="BF55" s="2">
        <v>0.99</v>
      </c>
      <c r="BG55" s="2" t="s">
        <v>113</v>
      </c>
    </row>
    <row r="56" spans="1:59" ht="43.5" hidden="1" x14ac:dyDescent="0.35">
      <c r="A56" s="2" t="s">
        <v>92</v>
      </c>
      <c r="B56" s="2" t="s">
        <v>28</v>
      </c>
      <c r="C56" s="2" t="s">
        <v>93</v>
      </c>
      <c r="D56" s="2" t="s">
        <v>94</v>
      </c>
      <c r="E56" s="2" t="s">
        <v>367</v>
      </c>
      <c r="F56" s="2" t="s">
        <v>418</v>
      </c>
      <c r="G56" s="2" t="s">
        <v>184</v>
      </c>
      <c r="H56" s="2" t="s">
        <v>419</v>
      </c>
      <c r="I56" s="2">
        <v>11</v>
      </c>
      <c r="J56" s="2" t="s">
        <v>193</v>
      </c>
      <c r="K56" s="2" t="s">
        <v>420</v>
      </c>
      <c r="L56" s="2">
        <v>11</v>
      </c>
      <c r="M56" s="5">
        <v>46283</v>
      </c>
      <c r="N56" s="6">
        <v>46283.612615740742</v>
      </c>
      <c r="O56" s="6">
        <v>46283.612754629627</v>
      </c>
      <c r="P56" s="2">
        <v>12</v>
      </c>
      <c r="Q56" s="2" t="s">
        <v>371</v>
      </c>
      <c r="R56" s="2" t="s">
        <v>102</v>
      </c>
      <c r="S56" s="2" t="s">
        <v>372</v>
      </c>
      <c r="T56" s="2" t="s">
        <v>373</v>
      </c>
      <c r="U56" s="2" t="s">
        <v>188</v>
      </c>
      <c r="V56" s="2" t="s">
        <v>184</v>
      </c>
      <c r="W56" s="2" t="s">
        <v>195</v>
      </c>
      <c r="X56" s="2" t="s">
        <v>196</v>
      </c>
      <c r="Y56" s="2" t="s">
        <v>142</v>
      </c>
      <c r="Z56" s="2" t="s">
        <v>197</v>
      </c>
      <c r="AA56" s="2" t="s">
        <v>144</v>
      </c>
      <c r="AB56" s="2" t="s">
        <v>110</v>
      </c>
      <c r="AC56" s="2" t="s">
        <v>145</v>
      </c>
      <c r="AD56" s="2">
        <v>0</v>
      </c>
      <c r="AE56" s="2">
        <v>2</v>
      </c>
      <c r="AF56" s="2">
        <v>0</v>
      </c>
      <c r="AG56" s="2" t="s">
        <v>112</v>
      </c>
      <c r="AH56" s="2" t="s">
        <v>112</v>
      </c>
      <c r="AI56" s="2"/>
      <c r="AJ56" s="2"/>
      <c r="AK56" s="2">
        <v>350</v>
      </c>
      <c r="AL56" s="2">
        <v>12</v>
      </c>
      <c r="AM56" s="2">
        <v>0</v>
      </c>
      <c r="AN56" s="2"/>
      <c r="AO56" s="2" t="s">
        <v>114</v>
      </c>
      <c r="AP56" s="2"/>
      <c r="AQ56" s="2" t="s">
        <v>374</v>
      </c>
      <c r="AR56" s="2" t="s">
        <v>30</v>
      </c>
      <c r="AS56" s="2" t="s">
        <v>31</v>
      </c>
      <c r="AT56" s="2" t="s">
        <v>32</v>
      </c>
      <c r="AU56" s="2" t="s">
        <v>375</v>
      </c>
      <c r="AV56" s="2" t="s">
        <v>33</v>
      </c>
      <c r="AW56" s="2" t="s">
        <v>376</v>
      </c>
      <c r="AX56" s="2" t="s">
        <v>377</v>
      </c>
      <c r="AY56" s="2" t="s">
        <v>119</v>
      </c>
      <c r="AZ56" s="2" t="s">
        <v>378</v>
      </c>
      <c r="BA56" s="2" t="s">
        <v>379</v>
      </c>
      <c r="BB56" s="2" t="s">
        <v>380</v>
      </c>
      <c r="BC56" s="2" t="s">
        <v>123</v>
      </c>
      <c r="BD56" s="5">
        <v>46283</v>
      </c>
      <c r="BE56" s="6">
        <v>46283.615532407413</v>
      </c>
      <c r="BF56" s="2">
        <v>0.99</v>
      </c>
      <c r="BG56" s="2" t="s">
        <v>113</v>
      </c>
    </row>
    <row r="57" spans="1:59" ht="43.5" hidden="1" x14ac:dyDescent="0.35">
      <c r="A57" s="2" t="s">
        <v>92</v>
      </c>
      <c r="B57" s="2" t="s">
        <v>28</v>
      </c>
      <c r="C57" s="2" t="s">
        <v>93</v>
      </c>
      <c r="D57" s="2" t="s">
        <v>94</v>
      </c>
      <c r="E57" s="2" t="s">
        <v>367</v>
      </c>
      <c r="F57" s="2" t="s">
        <v>421</v>
      </c>
      <c r="G57" s="2" t="s">
        <v>199</v>
      </c>
      <c r="H57" s="2" t="s">
        <v>422</v>
      </c>
      <c r="I57" s="2">
        <v>12</v>
      </c>
      <c r="J57" s="2" t="s">
        <v>201</v>
      </c>
      <c r="K57" s="2" t="s">
        <v>423</v>
      </c>
      <c r="L57" s="2">
        <v>12</v>
      </c>
      <c r="M57" s="5">
        <v>46283</v>
      </c>
      <c r="N57" s="6">
        <v>46283.612754629627</v>
      </c>
      <c r="O57" s="6">
        <v>46283.612847222219</v>
      </c>
      <c r="P57" s="2">
        <v>8</v>
      </c>
      <c r="Q57" s="2" t="s">
        <v>371</v>
      </c>
      <c r="R57" s="2" t="s">
        <v>102</v>
      </c>
      <c r="S57" s="2" t="s">
        <v>372</v>
      </c>
      <c r="T57" s="2" t="s">
        <v>373</v>
      </c>
      <c r="U57" s="2" t="s">
        <v>188</v>
      </c>
      <c r="V57" s="2" t="s">
        <v>199</v>
      </c>
      <c r="W57" s="2" t="s">
        <v>203</v>
      </c>
      <c r="X57" s="2" t="s">
        <v>204</v>
      </c>
      <c r="Y57" s="2" t="s">
        <v>142</v>
      </c>
      <c r="Z57" s="2" t="s">
        <v>205</v>
      </c>
      <c r="AA57" s="2" t="s">
        <v>144</v>
      </c>
      <c r="AB57" s="2" t="s">
        <v>110</v>
      </c>
      <c r="AC57" s="2" t="s">
        <v>145</v>
      </c>
      <c r="AD57" s="2">
        <v>0</v>
      </c>
      <c r="AE57" s="2">
        <v>1</v>
      </c>
      <c r="AF57" s="2">
        <v>0</v>
      </c>
      <c r="AG57" s="2" t="s">
        <v>112</v>
      </c>
      <c r="AH57" s="2" t="s">
        <v>112</v>
      </c>
      <c r="AI57" s="2"/>
      <c r="AJ57" s="2"/>
      <c r="AK57" s="2">
        <v>350</v>
      </c>
      <c r="AL57" s="2">
        <v>8</v>
      </c>
      <c r="AM57" s="2">
        <v>0</v>
      </c>
      <c r="AN57" s="2"/>
      <c r="AO57" s="2" t="s">
        <v>114</v>
      </c>
      <c r="AP57" s="2"/>
      <c r="AQ57" s="2" t="s">
        <v>374</v>
      </c>
      <c r="AR57" s="2" t="s">
        <v>30</v>
      </c>
      <c r="AS57" s="2" t="s">
        <v>31</v>
      </c>
      <c r="AT57" s="2" t="s">
        <v>32</v>
      </c>
      <c r="AU57" s="2" t="s">
        <v>375</v>
      </c>
      <c r="AV57" s="2" t="s">
        <v>33</v>
      </c>
      <c r="AW57" s="2" t="s">
        <v>376</v>
      </c>
      <c r="AX57" s="2" t="s">
        <v>377</v>
      </c>
      <c r="AY57" s="2" t="s">
        <v>119</v>
      </c>
      <c r="AZ57" s="2" t="s">
        <v>378</v>
      </c>
      <c r="BA57" s="2" t="s">
        <v>379</v>
      </c>
      <c r="BB57" s="2" t="s">
        <v>380</v>
      </c>
      <c r="BC57" s="2" t="s">
        <v>123</v>
      </c>
      <c r="BD57" s="5">
        <v>46283</v>
      </c>
      <c r="BE57" s="6">
        <v>46283.615624999999</v>
      </c>
      <c r="BF57" s="2">
        <v>0.99</v>
      </c>
      <c r="BG57" s="2" t="s">
        <v>113</v>
      </c>
    </row>
    <row r="58" spans="1:59" ht="43.5" hidden="1" x14ac:dyDescent="0.35">
      <c r="A58" s="2" t="s">
        <v>92</v>
      </c>
      <c r="B58" s="2" t="s">
        <v>28</v>
      </c>
      <c r="C58" s="2" t="s">
        <v>93</v>
      </c>
      <c r="D58" s="2" t="s">
        <v>94</v>
      </c>
      <c r="E58" s="2" t="s">
        <v>367</v>
      </c>
      <c r="F58" s="2" t="s">
        <v>424</v>
      </c>
      <c r="G58" s="2" t="s">
        <v>199</v>
      </c>
      <c r="H58" s="2" t="s">
        <v>425</v>
      </c>
      <c r="I58" s="2">
        <v>13</v>
      </c>
      <c r="J58" s="2" t="s">
        <v>208</v>
      </c>
      <c r="K58" s="2" t="s">
        <v>426</v>
      </c>
      <c r="L58" s="2">
        <v>13</v>
      </c>
      <c r="M58" s="5">
        <v>46283</v>
      </c>
      <c r="N58" s="6">
        <v>46283.612847222219</v>
      </c>
      <c r="O58" s="6">
        <v>46283.613449074073</v>
      </c>
      <c r="P58" s="2">
        <v>52</v>
      </c>
      <c r="Q58" s="2" t="s">
        <v>371</v>
      </c>
      <c r="R58" s="2" t="s">
        <v>102</v>
      </c>
      <c r="S58" s="2" t="s">
        <v>372</v>
      </c>
      <c r="T58" s="2" t="s">
        <v>373</v>
      </c>
      <c r="U58" s="2" t="s">
        <v>188</v>
      </c>
      <c r="V58" s="2" t="s">
        <v>199</v>
      </c>
      <c r="W58" s="2" t="s">
        <v>210</v>
      </c>
      <c r="X58" s="2" t="s">
        <v>211</v>
      </c>
      <c r="Y58" s="2" t="s">
        <v>108</v>
      </c>
      <c r="Z58" s="2" t="s">
        <v>212</v>
      </c>
      <c r="AA58" s="2" t="s">
        <v>213</v>
      </c>
      <c r="AB58" s="2" t="s">
        <v>110</v>
      </c>
      <c r="AC58" s="2" t="s">
        <v>111</v>
      </c>
      <c r="AD58" s="2">
        <v>20</v>
      </c>
      <c r="AE58" s="2">
        <v>3</v>
      </c>
      <c r="AF58" s="2">
        <v>0</v>
      </c>
      <c r="AG58" s="2" t="s">
        <v>113</v>
      </c>
      <c r="AH58" s="2" t="s">
        <v>113</v>
      </c>
      <c r="AI58" s="2"/>
      <c r="AJ58" s="2"/>
      <c r="AK58" s="2">
        <v>350</v>
      </c>
      <c r="AL58" s="2">
        <v>52</v>
      </c>
      <c r="AM58" s="2">
        <v>0</v>
      </c>
      <c r="AN58" s="2"/>
      <c r="AO58" s="2" t="s">
        <v>114</v>
      </c>
      <c r="AP58" s="2"/>
      <c r="AQ58" s="2" t="s">
        <v>374</v>
      </c>
      <c r="AR58" s="2" t="s">
        <v>30</v>
      </c>
      <c r="AS58" s="2" t="s">
        <v>31</v>
      </c>
      <c r="AT58" s="2" t="s">
        <v>32</v>
      </c>
      <c r="AU58" s="2" t="s">
        <v>375</v>
      </c>
      <c r="AV58" s="2" t="s">
        <v>33</v>
      </c>
      <c r="AW58" s="2" t="s">
        <v>376</v>
      </c>
      <c r="AX58" s="2" t="s">
        <v>377</v>
      </c>
      <c r="AY58" s="2" t="s">
        <v>119</v>
      </c>
      <c r="AZ58" s="2" t="s">
        <v>378</v>
      </c>
      <c r="BA58" s="2" t="s">
        <v>379</v>
      </c>
      <c r="BB58" s="2" t="s">
        <v>380</v>
      </c>
      <c r="BC58" s="2" t="s">
        <v>123</v>
      </c>
      <c r="BD58" s="5">
        <v>46283</v>
      </c>
      <c r="BE58" s="6">
        <v>46283.616226851853</v>
      </c>
      <c r="BF58" s="2">
        <v>0.99</v>
      </c>
      <c r="BG58" s="2" t="s">
        <v>113</v>
      </c>
    </row>
    <row r="59" spans="1:59" ht="43.5" hidden="1" x14ac:dyDescent="0.35">
      <c r="A59" s="2" t="s">
        <v>92</v>
      </c>
      <c r="B59" s="2" t="s">
        <v>28</v>
      </c>
      <c r="C59" s="2" t="s">
        <v>93</v>
      </c>
      <c r="D59" s="2" t="s">
        <v>94</v>
      </c>
      <c r="E59" s="2" t="s">
        <v>367</v>
      </c>
      <c r="F59" s="2" t="s">
        <v>427</v>
      </c>
      <c r="G59" s="2" t="s">
        <v>199</v>
      </c>
      <c r="H59" s="2" t="s">
        <v>428</v>
      </c>
      <c r="I59" s="2">
        <v>14</v>
      </c>
      <c r="J59" s="2" t="s">
        <v>216</v>
      </c>
      <c r="K59" s="2" t="s">
        <v>429</v>
      </c>
      <c r="L59" s="2">
        <v>14</v>
      </c>
      <c r="M59" s="5">
        <v>46283</v>
      </c>
      <c r="N59" s="6">
        <v>46283.613449074073</v>
      </c>
      <c r="O59" s="6">
        <v>46283.613703703697</v>
      </c>
      <c r="P59" s="2">
        <v>22</v>
      </c>
      <c r="Q59" s="2" t="s">
        <v>371</v>
      </c>
      <c r="R59" s="2" t="s">
        <v>102</v>
      </c>
      <c r="S59" s="2" t="s">
        <v>372</v>
      </c>
      <c r="T59" s="2" t="s">
        <v>373</v>
      </c>
      <c r="U59" s="2" t="s">
        <v>188</v>
      </c>
      <c r="V59" s="2" t="s">
        <v>199</v>
      </c>
      <c r="W59" s="2" t="s">
        <v>218</v>
      </c>
      <c r="X59" s="2" t="s">
        <v>219</v>
      </c>
      <c r="Y59" s="2" t="s">
        <v>142</v>
      </c>
      <c r="Z59" s="2" t="s">
        <v>220</v>
      </c>
      <c r="AA59" s="2" t="s">
        <v>144</v>
      </c>
      <c r="AB59" s="2" t="s">
        <v>110</v>
      </c>
      <c r="AC59" s="2" t="s">
        <v>145</v>
      </c>
      <c r="AD59" s="2">
        <v>0</v>
      </c>
      <c r="AE59" s="2">
        <v>2</v>
      </c>
      <c r="AF59" s="2">
        <v>0</v>
      </c>
      <c r="AG59" s="2" t="s">
        <v>112</v>
      </c>
      <c r="AH59" s="2" t="s">
        <v>112</v>
      </c>
      <c r="AI59" s="2"/>
      <c r="AJ59" s="2"/>
      <c r="AK59" s="2">
        <v>350</v>
      </c>
      <c r="AL59" s="2">
        <v>12</v>
      </c>
      <c r="AM59" s="2">
        <v>10</v>
      </c>
      <c r="AN59" s="2"/>
      <c r="AO59" s="2" t="s">
        <v>114</v>
      </c>
      <c r="AP59" s="2"/>
      <c r="AQ59" s="2" t="s">
        <v>374</v>
      </c>
      <c r="AR59" s="2" t="s">
        <v>30</v>
      </c>
      <c r="AS59" s="2" t="s">
        <v>31</v>
      </c>
      <c r="AT59" s="2" t="s">
        <v>32</v>
      </c>
      <c r="AU59" s="2" t="s">
        <v>375</v>
      </c>
      <c r="AV59" s="2" t="s">
        <v>33</v>
      </c>
      <c r="AW59" s="2" t="s">
        <v>376</v>
      </c>
      <c r="AX59" s="2" t="s">
        <v>377</v>
      </c>
      <c r="AY59" s="2" t="s">
        <v>119</v>
      </c>
      <c r="AZ59" s="2" t="s">
        <v>378</v>
      </c>
      <c r="BA59" s="2" t="s">
        <v>379</v>
      </c>
      <c r="BB59" s="2" t="s">
        <v>380</v>
      </c>
      <c r="BC59" s="2" t="s">
        <v>123</v>
      </c>
      <c r="BD59" s="5">
        <v>46283</v>
      </c>
      <c r="BE59" s="6">
        <v>46283.616481481477</v>
      </c>
      <c r="BF59" s="2">
        <v>0.99</v>
      </c>
      <c r="BG59" s="2" t="s">
        <v>113</v>
      </c>
    </row>
    <row r="60" spans="1:59" ht="43.5" hidden="1" x14ac:dyDescent="0.35">
      <c r="A60" s="2" t="s">
        <v>92</v>
      </c>
      <c r="B60" s="2" t="s">
        <v>28</v>
      </c>
      <c r="C60" s="2" t="s">
        <v>93</v>
      </c>
      <c r="D60" s="2" t="s">
        <v>94</v>
      </c>
      <c r="E60" s="2" t="s">
        <v>367</v>
      </c>
      <c r="F60" s="2" t="s">
        <v>430</v>
      </c>
      <c r="G60" s="2" t="s">
        <v>222</v>
      </c>
      <c r="H60" s="2" t="s">
        <v>431</v>
      </c>
      <c r="I60" s="2">
        <v>15</v>
      </c>
      <c r="J60" s="2" t="s">
        <v>224</v>
      </c>
      <c r="K60" s="2" t="s">
        <v>432</v>
      </c>
      <c r="L60" s="2">
        <v>15</v>
      </c>
      <c r="M60" s="5">
        <v>46283</v>
      </c>
      <c r="N60" s="6">
        <v>46283.646527777782</v>
      </c>
      <c r="O60" s="6">
        <v>46283.646620370368</v>
      </c>
      <c r="P60" s="2">
        <v>8</v>
      </c>
      <c r="Q60" s="2" t="s">
        <v>371</v>
      </c>
      <c r="R60" s="2" t="s">
        <v>102</v>
      </c>
      <c r="S60" s="2" t="s">
        <v>372</v>
      </c>
      <c r="T60" s="2" t="s">
        <v>373</v>
      </c>
      <c r="U60" s="2" t="s">
        <v>188</v>
      </c>
      <c r="V60" s="2" t="s">
        <v>222</v>
      </c>
      <c r="W60" s="2" t="s">
        <v>226</v>
      </c>
      <c r="X60" s="2" t="s">
        <v>227</v>
      </c>
      <c r="Y60" s="2" t="s">
        <v>142</v>
      </c>
      <c r="Z60" s="2" t="s">
        <v>228</v>
      </c>
      <c r="AA60" s="2" t="s">
        <v>144</v>
      </c>
      <c r="AB60" s="2" t="s">
        <v>110</v>
      </c>
      <c r="AC60" s="2" t="s">
        <v>145</v>
      </c>
      <c r="AD60" s="2">
        <v>0</v>
      </c>
      <c r="AE60" s="2">
        <v>1</v>
      </c>
      <c r="AF60" s="2">
        <v>0</v>
      </c>
      <c r="AG60" s="2" t="s">
        <v>112</v>
      </c>
      <c r="AH60" s="2" t="s">
        <v>112</v>
      </c>
      <c r="AI60" s="2"/>
      <c r="AJ60" s="2"/>
      <c r="AK60" s="2">
        <v>350</v>
      </c>
      <c r="AL60" s="2">
        <v>8</v>
      </c>
      <c r="AM60" s="2">
        <v>0</v>
      </c>
      <c r="AN60" s="2"/>
      <c r="AO60" s="2" t="s">
        <v>114</v>
      </c>
      <c r="AP60" s="2"/>
      <c r="AQ60" s="2" t="s">
        <v>374</v>
      </c>
      <c r="AR60" s="2" t="s">
        <v>30</v>
      </c>
      <c r="AS60" s="2" t="s">
        <v>31</v>
      </c>
      <c r="AT60" s="2" t="s">
        <v>32</v>
      </c>
      <c r="AU60" s="2" t="s">
        <v>375</v>
      </c>
      <c r="AV60" s="2" t="s">
        <v>33</v>
      </c>
      <c r="AW60" s="2" t="s">
        <v>376</v>
      </c>
      <c r="AX60" s="2" t="s">
        <v>377</v>
      </c>
      <c r="AY60" s="2" t="s">
        <v>119</v>
      </c>
      <c r="AZ60" s="2" t="s">
        <v>378</v>
      </c>
      <c r="BA60" s="2" t="s">
        <v>379</v>
      </c>
      <c r="BB60" s="2" t="s">
        <v>380</v>
      </c>
      <c r="BC60" s="2" t="s">
        <v>123</v>
      </c>
      <c r="BD60" s="5">
        <v>46283</v>
      </c>
      <c r="BE60" s="6">
        <v>46283.649398148147</v>
      </c>
      <c r="BF60" s="2">
        <v>0.99</v>
      </c>
      <c r="BG60" s="2" t="s">
        <v>113</v>
      </c>
    </row>
    <row r="61" spans="1:59" ht="43.5" hidden="1" x14ac:dyDescent="0.35">
      <c r="A61" s="2" t="s">
        <v>92</v>
      </c>
      <c r="B61" s="2" t="s">
        <v>28</v>
      </c>
      <c r="C61" s="2" t="s">
        <v>93</v>
      </c>
      <c r="D61" s="2" t="s">
        <v>94</v>
      </c>
      <c r="E61" s="2" t="s">
        <v>367</v>
      </c>
      <c r="F61" s="2" t="s">
        <v>433</v>
      </c>
      <c r="G61" s="2" t="s">
        <v>230</v>
      </c>
      <c r="H61" s="2" t="s">
        <v>434</v>
      </c>
      <c r="I61" s="2">
        <v>16</v>
      </c>
      <c r="J61" s="2" t="s">
        <v>232</v>
      </c>
      <c r="K61" s="2" t="s">
        <v>435</v>
      </c>
      <c r="L61" s="2">
        <v>16</v>
      </c>
      <c r="M61" s="5">
        <v>46283</v>
      </c>
      <c r="N61" s="6">
        <v>46283.649305555547</v>
      </c>
      <c r="O61" s="6">
        <v>46283.649513888893</v>
      </c>
      <c r="P61" s="2">
        <v>18</v>
      </c>
      <c r="Q61" s="2" t="s">
        <v>371</v>
      </c>
      <c r="R61" s="2" t="s">
        <v>102</v>
      </c>
      <c r="S61" s="2" t="s">
        <v>372</v>
      </c>
      <c r="T61" s="2" t="s">
        <v>373</v>
      </c>
      <c r="U61" s="2" t="s">
        <v>188</v>
      </c>
      <c r="V61" s="2" t="s">
        <v>230</v>
      </c>
      <c r="W61" s="2" t="s">
        <v>234</v>
      </c>
      <c r="X61" s="2" t="s">
        <v>235</v>
      </c>
      <c r="Y61" s="2" t="s">
        <v>142</v>
      </c>
      <c r="Z61" s="2" t="s">
        <v>236</v>
      </c>
      <c r="AA61" s="2" t="s">
        <v>144</v>
      </c>
      <c r="AB61" s="2" t="s">
        <v>110</v>
      </c>
      <c r="AC61" s="2" t="s">
        <v>145</v>
      </c>
      <c r="AD61" s="2">
        <v>0</v>
      </c>
      <c r="AE61" s="2">
        <v>2</v>
      </c>
      <c r="AF61" s="2">
        <v>0</v>
      </c>
      <c r="AG61" s="2" t="s">
        <v>112</v>
      </c>
      <c r="AH61" s="2" t="s">
        <v>112</v>
      </c>
      <c r="AI61" s="2"/>
      <c r="AJ61" s="2"/>
      <c r="AK61" s="2">
        <v>350</v>
      </c>
      <c r="AL61" s="2">
        <v>18</v>
      </c>
      <c r="AM61" s="2">
        <v>0</v>
      </c>
      <c r="AN61" s="2"/>
      <c r="AO61" s="2" t="s">
        <v>114</v>
      </c>
      <c r="AP61" s="2"/>
      <c r="AQ61" s="2" t="s">
        <v>374</v>
      </c>
      <c r="AR61" s="2" t="s">
        <v>30</v>
      </c>
      <c r="AS61" s="2" t="s">
        <v>31</v>
      </c>
      <c r="AT61" s="2" t="s">
        <v>32</v>
      </c>
      <c r="AU61" s="2" t="s">
        <v>375</v>
      </c>
      <c r="AV61" s="2" t="s">
        <v>33</v>
      </c>
      <c r="AW61" s="2" t="s">
        <v>376</v>
      </c>
      <c r="AX61" s="2" t="s">
        <v>377</v>
      </c>
      <c r="AY61" s="2" t="s">
        <v>119</v>
      </c>
      <c r="AZ61" s="2" t="s">
        <v>378</v>
      </c>
      <c r="BA61" s="2" t="s">
        <v>379</v>
      </c>
      <c r="BB61" s="2" t="s">
        <v>380</v>
      </c>
      <c r="BC61" s="2" t="s">
        <v>123</v>
      </c>
      <c r="BD61" s="5">
        <v>46283</v>
      </c>
      <c r="BE61" s="6">
        <v>46283.652291666673</v>
      </c>
      <c r="BF61" s="2">
        <v>0.99</v>
      </c>
      <c r="BG61" s="2" t="s">
        <v>113</v>
      </c>
    </row>
    <row r="62" spans="1:59" ht="43.5" hidden="1" x14ac:dyDescent="0.35">
      <c r="A62" s="2" t="s">
        <v>92</v>
      </c>
      <c r="B62" s="2" t="s">
        <v>28</v>
      </c>
      <c r="C62" s="2" t="s">
        <v>93</v>
      </c>
      <c r="D62" s="2" t="s">
        <v>94</v>
      </c>
      <c r="E62" s="2" t="s">
        <v>367</v>
      </c>
      <c r="F62" s="2" t="s">
        <v>436</v>
      </c>
      <c r="G62" s="2" t="s">
        <v>238</v>
      </c>
      <c r="H62" s="2" t="s">
        <v>437</v>
      </c>
      <c r="I62" s="2">
        <v>17</v>
      </c>
      <c r="J62" s="2" t="s">
        <v>240</v>
      </c>
      <c r="K62" s="2" t="s">
        <v>438</v>
      </c>
      <c r="L62" s="2">
        <v>17</v>
      </c>
      <c r="M62" s="5">
        <v>46283</v>
      </c>
      <c r="N62" s="6">
        <v>46283.649513888893</v>
      </c>
      <c r="O62" s="6">
        <v>46283.649594907409</v>
      </c>
      <c r="P62" s="2">
        <v>7</v>
      </c>
      <c r="Q62" s="2" t="s">
        <v>371</v>
      </c>
      <c r="R62" s="2" t="s">
        <v>102</v>
      </c>
      <c r="S62" s="2" t="s">
        <v>372</v>
      </c>
      <c r="T62" s="2" t="s">
        <v>373</v>
      </c>
      <c r="U62" s="2" t="s">
        <v>242</v>
      </c>
      <c r="V62" s="2" t="s">
        <v>238</v>
      </c>
      <c r="W62" s="2" t="s">
        <v>243</v>
      </c>
      <c r="X62" s="2" t="s">
        <v>244</v>
      </c>
      <c r="Y62" s="2" t="s">
        <v>142</v>
      </c>
      <c r="Z62" s="2" t="s">
        <v>245</v>
      </c>
      <c r="AA62" s="2" t="s">
        <v>144</v>
      </c>
      <c r="AB62" s="2" t="s">
        <v>110</v>
      </c>
      <c r="AC62" s="2" t="s">
        <v>145</v>
      </c>
      <c r="AD62" s="2">
        <v>0</v>
      </c>
      <c r="AE62" s="2">
        <v>1</v>
      </c>
      <c r="AF62" s="2">
        <v>0</v>
      </c>
      <c r="AG62" s="2" t="s">
        <v>112</v>
      </c>
      <c r="AH62" s="2" t="s">
        <v>112</v>
      </c>
      <c r="AI62" s="2"/>
      <c r="AJ62" s="2"/>
      <c r="AK62" s="2">
        <v>350</v>
      </c>
      <c r="AL62" s="2">
        <v>7</v>
      </c>
      <c r="AM62" s="2">
        <v>0</v>
      </c>
      <c r="AN62" s="2"/>
      <c r="AO62" s="2" t="s">
        <v>114</v>
      </c>
      <c r="AP62" s="2"/>
      <c r="AQ62" s="2" t="s">
        <v>374</v>
      </c>
      <c r="AR62" s="2" t="s">
        <v>30</v>
      </c>
      <c r="AS62" s="2" t="s">
        <v>31</v>
      </c>
      <c r="AT62" s="2" t="s">
        <v>32</v>
      </c>
      <c r="AU62" s="2" t="s">
        <v>375</v>
      </c>
      <c r="AV62" s="2" t="s">
        <v>33</v>
      </c>
      <c r="AW62" s="2" t="s">
        <v>376</v>
      </c>
      <c r="AX62" s="2" t="s">
        <v>377</v>
      </c>
      <c r="AY62" s="2" t="s">
        <v>119</v>
      </c>
      <c r="AZ62" s="2" t="s">
        <v>378</v>
      </c>
      <c r="BA62" s="2" t="s">
        <v>379</v>
      </c>
      <c r="BB62" s="2" t="s">
        <v>380</v>
      </c>
      <c r="BC62" s="2" t="s">
        <v>123</v>
      </c>
      <c r="BD62" s="5">
        <v>46283</v>
      </c>
      <c r="BE62" s="6">
        <v>46283.652372685188</v>
      </c>
      <c r="BF62" s="2">
        <v>0.99</v>
      </c>
      <c r="BG62" s="2" t="s">
        <v>113</v>
      </c>
    </row>
    <row r="63" spans="1:59" ht="43.5" hidden="1" x14ac:dyDescent="0.35">
      <c r="A63" s="2" t="s">
        <v>92</v>
      </c>
      <c r="B63" s="2" t="s">
        <v>28</v>
      </c>
      <c r="C63" s="2" t="s">
        <v>93</v>
      </c>
      <c r="D63" s="2" t="s">
        <v>94</v>
      </c>
      <c r="E63" s="2" t="s">
        <v>367</v>
      </c>
      <c r="F63" s="2" t="s">
        <v>439</v>
      </c>
      <c r="G63" s="2" t="s">
        <v>238</v>
      </c>
      <c r="H63" s="2" t="s">
        <v>440</v>
      </c>
      <c r="I63" s="2">
        <v>18</v>
      </c>
      <c r="J63" s="2" t="s">
        <v>359</v>
      </c>
      <c r="K63" s="2" t="s">
        <v>441</v>
      </c>
      <c r="L63" s="2">
        <v>18</v>
      </c>
      <c r="M63" s="5">
        <v>46283</v>
      </c>
      <c r="N63" s="6">
        <v>46283.649594907409</v>
      </c>
      <c r="O63" s="6">
        <v>46283.649918981479</v>
      </c>
      <c r="P63" s="2">
        <v>28</v>
      </c>
      <c r="Q63" s="2" t="s">
        <v>371</v>
      </c>
      <c r="R63" s="2" t="s">
        <v>102</v>
      </c>
      <c r="S63" s="2" t="s">
        <v>372</v>
      </c>
      <c r="T63" s="2" t="s">
        <v>373</v>
      </c>
      <c r="U63" s="2" t="s">
        <v>242</v>
      </c>
      <c r="V63" s="2" t="s">
        <v>238</v>
      </c>
      <c r="W63" s="2" t="s">
        <v>250</v>
      </c>
      <c r="X63" s="2" t="s">
        <v>251</v>
      </c>
      <c r="Y63" s="2" t="s">
        <v>142</v>
      </c>
      <c r="Z63" s="2" t="s">
        <v>252</v>
      </c>
      <c r="AA63" s="2" t="s">
        <v>144</v>
      </c>
      <c r="AB63" s="2" t="s">
        <v>110</v>
      </c>
      <c r="AC63" s="2" t="s">
        <v>145</v>
      </c>
      <c r="AD63" s="2">
        <v>0</v>
      </c>
      <c r="AE63" s="2">
        <v>2</v>
      </c>
      <c r="AF63" s="2">
        <v>0</v>
      </c>
      <c r="AG63" s="2" t="s">
        <v>112</v>
      </c>
      <c r="AH63" s="2" t="s">
        <v>112</v>
      </c>
      <c r="AI63" s="2"/>
      <c r="AJ63" s="2"/>
      <c r="AK63" s="2">
        <v>350</v>
      </c>
      <c r="AL63" s="2">
        <v>18</v>
      </c>
      <c r="AM63" s="2">
        <v>10</v>
      </c>
      <c r="AN63" s="2"/>
      <c r="AO63" s="2" t="s">
        <v>114</v>
      </c>
      <c r="AP63" s="2"/>
      <c r="AQ63" s="2" t="s">
        <v>374</v>
      </c>
      <c r="AR63" s="2" t="s">
        <v>30</v>
      </c>
      <c r="AS63" s="2" t="s">
        <v>31</v>
      </c>
      <c r="AT63" s="2" t="s">
        <v>32</v>
      </c>
      <c r="AU63" s="2" t="s">
        <v>375</v>
      </c>
      <c r="AV63" s="2" t="s">
        <v>33</v>
      </c>
      <c r="AW63" s="2" t="s">
        <v>376</v>
      </c>
      <c r="AX63" s="2" t="s">
        <v>377</v>
      </c>
      <c r="AY63" s="2" t="s">
        <v>119</v>
      </c>
      <c r="AZ63" s="2" t="s">
        <v>378</v>
      </c>
      <c r="BA63" s="2" t="s">
        <v>379</v>
      </c>
      <c r="BB63" s="2" t="s">
        <v>380</v>
      </c>
      <c r="BC63" s="2" t="s">
        <v>123</v>
      </c>
      <c r="BD63" s="5">
        <v>46283</v>
      </c>
      <c r="BE63" s="6">
        <v>46283.652696759258</v>
      </c>
      <c r="BF63" s="2">
        <v>0.99</v>
      </c>
      <c r="BG63" s="2" t="s">
        <v>113</v>
      </c>
    </row>
    <row r="64" spans="1:59" ht="43.5" hidden="1" x14ac:dyDescent="0.35">
      <c r="A64" s="2" t="s">
        <v>92</v>
      </c>
      <c r="B64" s="2" t="s">
        <v>28</v>
      </c>
      <c r="C64" s="2" t="s">
        <v>93</v>
      </c>
      <c r="D64" s="2" t="s">
        <v>94</v>
      </c>
      <c r="E64" s="2" t="s">
        <v>367</v>
      </c>
      <c r="F64" s="2" t="s">
        <v>442</v>
      </c>
      <c r="G64" s="2" t="s">
        <v>265</v>
      </c>
      <c r="H64" s="2" t="s">
        <v>443</v>
      </c>
      <c r="I64" s="2">
        <v>19</v>
      </c>
      <c r="J64" s="2" t="s">
        <v>267</v>
      </c>
      <c r="K64" s="2" t="s">
        <v>444</v>
      </c>
      <c r="L64" s="2">
        <v>19</v>
      </c>
      <c r="M64" s="5">
        <v>46283</v>
      </c>
      <c r="N64" s="6">
        <v>46283.649918981479</v>
      </c>
      <c r="O64" s="6">
        <v>46283.650208333333</v>
      </c>
      <c r="P64" s="2">
        <v>25</v>
      </c>
      <c r="Q64" s="2" t="s">
        <v>371</v>
      </c>
      <c r="R64" s="2" t="s">
        <v>102</v>
      </c>
      <c r="S64" s="2" t="s">
        <v>372</v>
      </c>
      <c r="T64" s="2" t="s">
        <v>373</v>
      </c>
      <c r="U64" s="2" t="s">
        <v>242</v>
      </c>
      <c r="V64" s="2" t="s">
        <v>265</v>
      </c>
      <c r="W64" s="2" t="s">
        <v>269</v>
      </c>
      <c r="X64" s="2" t="s">
        <v>265</v>
      </c>
      <c r="Y64" s="2" t="s">
        <v>142</v>
      </c>
      <c r="Z64" s="2" t="s">
        <v>270</v>
      </c>
      <c r="AA64" s="2" t="s">
        <v>144</v>
      </c>
      <c r="AB64" s="2" t="s">
        <v>110</v>
      </c>
      <c r="AC64" s="2" t="s">
        <v>145</v>
      </c>
      <c r="AD64" s="2">
        <v>0</v>
      </c>
      <c r="AE64" s="2">
        <v>3</v>
      </c>
      <c r="AF64" s="2">
        <v>0</v>
      </c>
      <c r="AG64" s="2" t="s">
        <v>112</v>
      </c>
      <c r="AH64" s="2" t="s">
        <v>112</v>
      </c>
      <c r="AI64" s="2"/>
      <c r="AJ64" s="2"/>
      <c r="AK64" s="2">
        <v>350</v>
      </c>
      <c r="AL64" s="2">
        <v>25</v>
      </c>
      <c r="AM64" s="2">
        <v>0</v>
      </c>
      <c r="AN64" s="2"/>
      <c r="AO64" s="2" t="s">
        <v>114</v>
      </c>
      <c r="AP64" s="2"/>
      <c r="AQ64" s="2" t="s">
        <v>374</v>
      </c>
      <c r="AR64" s="2" t="s">
        <v>30</v>
      </c>
      <c r="AS64" s="2" t="s">
        <v>31</v>
      </c>
      <c r="AT64" s="2" t="s">
        <v>32</v>
      </c>
      <c r="AU64" s="2" t="s">
        <v>375</v>
      </c>
      <c r="AV64" s="2" t="s">
        <v>33</v>
      </c>
      <c r="AW64" s="2" t="s">
        <v>376</v>
      </c>
      <c r="AX64" s="2" t="s">
        <v>377</v>
      </c>
      <c r="AY64" s="2" t="s">
        <v>119</v>
      </c>
      <c r="AZ64" s="2" t="s">
        <v>378</v>
      </c>
      <c r="BA64" s="2" t="s">
        <v>379</v>
      </c>
      <c r="BB64" s="2" t="s">
        <v>380</v>
      </c>
      <c r="BC64" s="2" t="s">
        <v>123</v>
      </c>
      <c r="BD64" s="5">
        <v>46283</v>
      </c>
      <c r="BE64" s="6">
        <v>46283.652986111112</v>
      </c>
      <c r="BF64" s="2">
        <v>0.99</v>
      </c>
      <c r="BG64" s="2" t="s">
        <v>113</v>
      </c>
    </row>
    <row r="65" spans="1:59" ht="43.5" hidden="1" x14ac:dyDescent="0.35">
      <c r="A65" s="2" t="s">
        <v>92</v>
      </c>
      <c r="B65" s="2" t="s">
        <v>28</v>
      </c>
      <c r="C65" s="2" t="s">
        <v>93</v>
      </c>
      <c r="D65" s="2" t="s">
        <v>94</v>
      </c>
      <c r="E65" s="2" t="s">
        <v>367</v>
      </c>
      <c r="F65" s="2" t="s">
        <v>445</v>
      </c>
      <c r="G65" s="2" t="s">
        <v>272</v>
      </c>
      <c r="H65" s="2" t="s">
        <v>446</v>
      </c>
      <c r="I65" s="2">
        <v>20</v>
      </c>
      <c r="J65" s="2" t="s">
        <v>274</v>
      </c>
      <c r="K65" s="2" t="s">
        <v>447</v>
      </c>
      <c r="L65" s="2">
        <v>20</v>
      </c>
      <c r="M65" s="5">
        <v>46283</v>
      </c>
      <c r="N65" s="6">
        <v>46283.650208333333</v>
      </c>
      <c r="O65" s="6">
        <v>46283.650347222218</v>
      </c>
      <c r="P65" s="2">
        <v>12</v>
      </c>
      <c r="Q65" s="2" t="s">
        <v>371</v>
      </c>
      <c r="R65" s="2" t="s">
        <v>102</v>
      </c>
      <c r="S65" s="2" t="s">
        <v>372</v>
      </c>
      <c r="T65" s="2" t="s">
        <v>373</v>
      </c>
      <c r="U65" s="2" t="s">
        <v>105</v>
      </c>
      <c r="V65" s="2" t="s">
        <v>272</v>
      </c>
      <c r="W65" s="2" t="s">
        <v>276</v>
      </c>
      <c r="X65" s="2" t="s">
        <v>277</v>
      </c>
      <c r="Y65" s="2" t="s">
        <v>142</v>
      </c>
      <c r="Z65" s="2" t="s">
        <v>278</v>
      </c>
      <c r="AA65" s="2" t="s">
        <v>144</v>
      </c>
      <c r="AB65" s="2" t="s">
        <v>110</v>
      </c>
      <c r="AC65" s="2" t="s">
        <v>145</v>
      </c>
      <c r="AD65" s="2">
        <v>0</v>
      </c>
      <c r="AE65" s="2">
        <v>2</v>
      </c>
      <c r="AF65" s="2">
        <v>0</v>
      </c>
      <c r="AG65" s="2" t="s">
        <v>112</v>
      </c>
      <c r="AH65" s="2" t="s">
        <v>112</v>
      </c>
      <c r="AI65" s="2"/>
      <c r="AJ65" s="2"/>
      <c r="AK65" s="2">
        <v>350</v>
      </c>
      <c r="AL65" s="2">
        <v>12</v>
      </c>
      <c r="AM65" s="2">
        <v>0</v>
      </c>
      <c r="AN65" s="2"/>
      <c r="AO65" s="2" t="s">
        <v>114</v>
      </c>
      <c r="AP65" s="2"/>
      <c r="AQ65" s="2" t="s">
        <v>374</v>
      </c>
      <c r="AR65" s="2" t="s">
        <v>30</v>
      </c>
      <c r="AS65" s="2" t="s">
        <v>31</v>
      </c>
      <c r="AT65" s="2" t="s">
        <v>32</v>
      </c>
      <c r="AU65" s="2" t="s">
        <v>375</v>
      </c>
      <c r="AV65" s="2" t="s">
        <v>33</v>
      </c>
      <c r="AW65" s="2" t="s">
        <v>376</v>
      </c>
      <c r="AX65" s="2" t="s">
        <v>377</v>
      </c>
      <c r="AY65" s="2" t="s">
        <v>119</v>
      </c>
      <c r="AZ65" s="2" t="s">
        <v>378</v>
      </c>
      <c r="BA65" s="2" t="s">
        <v>379</v>
      </c>
      <c r="BB65" s="2" t="s">
        <v>380</v>
      </c>
      <c r="BC65" s="2" t="s">
        <v>123</v>
      </c>
      <c r="BD65" s="5">
        <v>46283</v>
      </c>
      <c r="BE65" s="6">
        <v>46283.653124999997</v>
      </c>
      <c r="BF65" s="2">
        <v>0.99</v>
      </c>
      <c r="BG65" s="2" t="s">
        <v>113</v>
      </c>
    </row>
  </sheetData>
  <mergeCells count="2">
    <mergeCell ref="A2:BG2"/>
    <mergeCell ref="A1:B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7"/>
  <sheetViews>
    <sheetView workbookViewId="0">
      <pane xSplit="5" ySplit="4" topLeftCell="M5" activePane="bottomRight" state="frozen"/>
      <selection pane="topRight"/>
      <selection pane="bottomLeft"/>
      <selection pane="bottomRight" sqref="A1:X1"/>
    </sheetView>
  </sheetViews>
  <sheetFormatPr defaultRowHeight="14.5" x14ac:dyDescent="0.35"/>
  <cols>
    <col min="1" max="1" width="16" customWidth="1"/>
    <col min="2" max="2" width="38" customWidth="1"/>
    <col min="3" max="10" width="16" customWidth="1"/>
    <col min="11" max="11" width="18.6328125" customWidth="1"/>
    <col min="12" max="12" width="18.08984375" customWidth="1"/>
    <col min="13" max="13" width="16" customWidth="1"/>
    <col min="14" max="15" width="38" customWidth="1"/>
    <col min="16" max="24" width="16" customWidth="1"/>
  </cols>
  <sheetData>
    <row r="1" spans="1:24" ht="26.15" customHeight="1" x14ac:dyDescent="0.35">
      <c r="A1" s="15" t="s">
        <v>448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36" customHeight="1" x14ac:dyDescent="0.35">
      <c r="A2" s="10" t="s">
        <v>449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4" spans="1:24" ht="36" customHeight="1" x14ac:dyDescent="0.35">
      <c r="A4" s="8" t="s">
        <v>450</v>
      </c>
      <c r="B4" s="8" t="s">
        <v>38</v>
      </c>
      <c r="C4" s="8" t="s">
        <v>41</v>
      </c>
      <c r="D4" s="8" t="s">
        <v>4</v>
      </c>
      <c r="E4" s="8" t="s">
        <v>5</v>
      </c>
      <c r="F4" s="8" t="s">
        <v>6</v>
      </c>
      <c r="G4" s="8" t="s">
        <v>83</v>
      </c>
      <c r="H4" s="8" t="s">
        <v>84</v>
      </c>
      <c r="I4" s="8" t="s">
        <v>451</v>
      </c>
      <c r="J4" s="8" t="s">
        <v>452</v>
      </c>
      <c r="K4" s="8" t="s">
        <v>453</v>
      </c>
      <c r="L4" s="8" t="s">
        <v>454</v>
      </c>
      <c r="M4" s="8" t="s">
        <v>52</v>
      </c>
      <c r="N4" s="8" t="s">
        <v>455</v>
      </c>
      <c r="O4" s="8" t="s">
        <v>456</v>
      </c>
      <c r="P4" s="8" t="s">
        <v>457</v>
      </c>
      <c r="Q4" s="8" t="s">
        <v>458</v>
      </c>
      <c r="R4" s="8" t="s">
        <v>459</v>
      </c>
      <c r="S4" s="8" t="s">
        <v>460</v>
      </c>
      <c r="T4" s="8" t="s">
        <v>461</v>
      </c>
      <c r="U4" s="8" t="s">
        <v>462</v>
      </c>
      <c r="V4" s="8" t="s">
        <v>463</v>
      </c>
      <c r="W4" s="8" t="s">
        <v>86</v>
      </c>
      <c r="X4" s="8" t="s">
        <v>91</v>
      </c>
    </row>
    <row r="5" spans="1:24" ht="29" x14ac:dyDescent="0.35">
      <c r="A5" s="2" t="s">
        <v>464</v>
      </c>
      <c r="B5" s="2" t="s">
        <v>14</v>
      </c>
      <c r="C5" s="2" t="s">
        <v>95</v>
      </c>
      <c r="D5" s="2" t="s">
        <v>16</v>
      </c>
      <c r="E5" s="2" t="s">
        <v>17</v>
      </c>
      <c r="F5" s="2" t="s">
        <v>18</v>
      </c>
      <c r="G5" s="2" t="s">
        <v>119</v>
      </c>
      <c r="H5" s="2" t="s">
        <v>120</v>
      </c>
      <c r="I5" s="2" t="s">
        <v>465</v>
      </c>
      <c r="J5" s="2" t="s">
        <v>466</v>
      </c>
      <c r="K5" s="6">
        <v>46283.538888888892</v>
      </c>
      <c r="L5" s="6">
        <v>46283.540972222218</v>
      </c>
      <c r="M5" s="2">
        <v>180</v>
      </c>
      <c r="N5" s="2" t="s">
        <v>467</v>
      </c>
      <c r="O5" s="2" t="s">
        <v>468</v>
      </c>
      <c r="P5" s="2" t="s">
        <v>113</v>
      </c>
      <c r="Q5" s="2" t="s">
        <v>113</v>
      </c>
      <c r="R5" s="2" t="s">
        <v>113</v>
      </c>
      <c r="S5" s="2" t="s">
        <v>469</v>
      </c>
      <c r="T5" s="2" t="s">
        <v>112</v>
      </c>
      <c r="U5" s="2">
        <v>0</v>
      </c>
      <c r="V5" s="2">
        <v>0.94</v>
      </c>
      <c r="W5" s="2" t="s">
        <v>122</v>
      </c>
      <c r="X5" s="2" t="s">
        <v>113</v>
      </c>
    </row>
    <row r="6" spans="1:24" ht="29" x14ac:dyDescent="0.35">
      <c r="A6" s="2" t="s">
        <v>470</v>
      </c>
      <c r="B6" s="2" t="s">
        <v>14</v>
      </c>
      <c r="C6" s="2" t="s">
        <v>95</v>
      </c>
      <c r="D6" s="2" t="s">
        <v>16</v>
      </c>
      <c r="E6" s="2" t="s">
        <v>17</v>
      </c>
      <c r="F6" s="2" t="s">
        <v>18</v>
      </c>
      <c r="G6" s="2" t="s">
        <v>119</v>
      </c>
      <c r="H6" s="2" t="s">
        <v>120</v>
      </c>
      <c r="I6" s="2" t="s">
        <v>465</v>
      </c>
      <c r="J6" s="2" t="s">
        <v>466</v>
      </c>
      <c r="K6" s="6">
        <v>46283.540972222218</v>
      </c>
      <c r="L6" s="6">
        <v>46283.549305555563</v>
      </c>
      <c r="M6" s="2">
        <v>720</v>
      </c>
      <c r="N6" s="2" t="s">
        <v>471</v>
      </c>
      <c r="O6" s="2" t="s">
        <v>468</v>
      </c>
      <c r="P6" s="2" t="s">
        <v>113</v>
      </c>
      <c r="Q6" s="2" t="s">
        <v>113</v>
      </c>
      <c r="R6" s="2" t="s">
        <v>113</v>
      </c>
      <c r="S6" s="2" t="s">
        <v>469</v>
      </c>
      <c r="T6" s="2" t="s">
        <v>112</v>
      </c>
      <c r="U6" s="2">
        <v>0</v>
      </c>
      <c r="V6" s="2">
        <v>0.94</v>
      </c>
      <c r="W6" s="2" t="s">
        <v>122</v>
      </c>
      <c r="X6" s="2" t="s">
        <v>113</v>
      </c>
    </row>
    <row r="7" spans="1:24" ht="29" x14ac:dyDescent="0.35">
      <c r="A7" s="2" t="s">
        <v>472</v>
      </c>
      <c r="B7" s="2" t="s">
        <v>14</v>
      </c>
      <c r="C7" s="2" t="s">
        <v>95</v>
      </c>
      <c r="D7" s="2" t="s">
        <v>16</v>
      </c>
      <c r="E7" s="2" t="s">
        <v>17</v>
      </c>
      <c r="F7" s="2" t="s">
        <v>18</v>
      </c>
      <c r="G7" s="2" t="s">
        <v>119</v>
      </c>
      <c r="H7" s="2" t="s">
        <v>120</v>
      </c>
      <c r="I7" s="2" t="s">
        <v>465</v>
      </c>
      <c r="J7" s="2" t="s">
        <v>466</v>
      </c>
      <c r="K7" s="6">
        <v>46283.549305555563</v>
      </c>
      <c r="L7" s="6">
        <v>46283.551388888889</v>
      </c>
      <c r="M7" s="2">
        <v>180</v>
      </c>
      <c r="N7" s="2" t="s">
        <v>473</v>
      </c>
      <c r="O7" s="2" t="s">
        <v>474</v>
      </c>
      <c r="P7" s="2" t="s">
        <v>113</v>
      </c>
      <c r="Q7" s="2" t="s">
        <v>113</v>
      </c>
      <c r="R7" s="2" t="s">
        <v>113</v>
      </c>
      <c r="S7" s="2" t="s">
        <v>475</v>
      </c>
      <c r="T7" s="2" t="s">
        <v>112</v>
      </c>
      <c r="U7" s="2">
        <v>0</v>
      </c>
      <c r="V7" s="2">
        <v>0.94</v>
      </c>
      <c r="W7" s="2" t="s">
        <v>122</v>
      </c>
      <c r="X7" s="2" t="s">
        <v>113</v>
      </c>
    </row>
    <row r="8" spans="1:24" ht="29" x14ac:dyDescent="0.35">
      <c r="A8" s="2" t="s">
        <v>476</v>
      </c>
      <c r="B8" s="2" t="s">
        <v>14</v>
      </c>
      <c r="C8" s="2" t="s">
        <v>95</v>
      </c>
      <c r="D8" s="2" t="s">
        <v>16</v>
      </c>
      <c r="E8" s="2" t="s">
        <v>17</v>
      </c>
      <c r="F8" s="2" t="s">
        <v>18</v>
      </c>
      <c r="G8" s="2" t="s">
        <v>119</v>
      </c>
      <c r="H8" s="2" t="s">
        <v>120</v>
      </c>
      <c r="I8" s="2" t="s">
        <v>465</v>
      </c>
      <c r="J8" s="2" t="s">
        <v>477</v>
      </c>
      <c r="K8" s="6">
        <v>46283.551388888889</v>
      </c>
      <c r="L8" s="6">
        <v>46283.563194444447</v>
      </c>
      <c r="M8" s="2">
        <v>1020</v>
      </c>
      <c r="N8" s="2" t="s">
        <v>478</v>
      </c>
      <c r="O8" s="2" t="s">
        <v>479</v>
      </c>
      <c r="P8" s="2" t="s">
        <v>113</v>
      </c>
      <c r="Q8" s="2" t="s">
        <v>112</v>
      </c>
      <c r="R8" s="2" t="s">
        <v>112</v>
      </c>
      <c r="S8" s="2" t="s">
        <v>480</v>
      </c>
      <c r="T8" s="7" t="s">
        <v>113</v>
      </c>
      <c r="U8" s="2">
        <v>2</v>
      </c>
      <c r="V8" s="2">
        <v>0.94</v>
      </c>
      <c r="W8" s="2" t="s">
        <v>122</v>
      </c>
      <c r="X8" s="2" t="s">
        <v>113</v>
      </c>
    </row>
    <row r="9" spans="1:24" ht="29" x14ac:dyDescent="0.35">
      <c r="A9" s="2" t="s">
        <v>481</v>
      </c>
      <c r="B9" s="2" t="s">
        <v>21</v>
      </c>
      <c r="C9" s="2" t="s">
        <v>279</v>
      </c>
      <c r="D9" s="2" t="s">
        <v>23</v>
      </c>
      <c r="E9" s="2" t="s">
        <v>24</v>
      </c>
      <c r="F9" s="2" t="s">
        <v>25</v>
      </c>
      <c r="G9" s="2" t="s">
        <v>119</v>
      </c>
      <c r="H9" s="2" t="s">
        <v>290</v>
      </c>
      <c r="I9" s="2" t="s">
        <v>482</v>
      </c>
      <c r="J9" s="2" t="s">
        <v>466</v>
      </c>
      <c r="K9" s="6">
        <v>46283.553668981483</v>
      </c>
      <c r="L9" s="6">
        <v>46283.554016203707</v>
      </c>
      <c r="M9" s="2">
        <v>30</v>
      </c>
      <c r="N9" s="2" t="s">
        <v>483</v>
      </c>
      <c r="O9" s="2" t="s">
        <v>468</v>
      </c>
      <c r="P9" s="2" t="s">
        <v>113</v>
      </c>
      <c r="Q9" s="2" t="s">
        <v>113</v>
      </c>
      <c r="R9" s="2" t="s">
        <v>113</v>
      </c>
      <c r="S9" s="2" t="s">
        <v>484</v>
      </c>
      <c r="T9" s="2" t="s">
        <v>112</v>
      </c>
      <c r="U9" s="2">
        <v>0</v>
      </c>
      <c r="V9" s="2">
        <v>0.94</v>
      </c>
      <c r="W9" s="2" t="s">
        <v>292</v>
      </c>
      <c r="X9" s="2" t="s">
        <v>113</v>
      </c>
    </row>
    <row r="10" spans="1:24" ht="29" x14ac:dyDescent="0.35">
      <c r="A10" s="2" t="s">
        <v>485</v>
      </c>
      <c r="B10" s="2" t="s">
        <v>21</v>
      </c>
      <c r="C10" s="2" t="s">
        <v>279</v>
      </c>
      <c r="D10" s="2" t="s">
        <v>23</v>
      </c>
      <c r="E10" s="2" t="s">
        <v>24</v>
      </c>
      <c r="F10" s="2" t="s">
        <v>25</v>
      </c>
      <c r="G10" s="2" t="s">
        <v>119</v>
      </c>
      <c r="H10" s="2" t="s">
        <v>290</v>
      </c>
      <c r="I10" s="2" t="s">
        <v>482</v>
      </c>
      <c r="J10" s="2" t="s">
        <v>466</v>
      </c>
      <c r="K10" s="6">
        <v>46283.554016203707</v>
      </c>
      <c r="L10" s="6">
        <v>46283.555115740739</v>
      </c>
      <c r="M10" s="2">
        <v>95</v>
      </c>
      <c r="N10" s="2" t="s">
        <v>486</v>
      </c>
      <c r="O10" s="2" t="s">
        <v>474</v>
      </c>
      <c r="P10" s="2" t="s">
        <v>113</v>
      </c>
      <c r="Q10" s="2" t="s">
        <v>113</v>
      </c>
      <c r="R10" s="2" t="s">
        <v>113</v>
      </c>
      <c r="S10" s="2" t="s">
        <v>484</v>
      </c>
      <c r="T10" s="2" t="s">
        <v>112</v>
      </c>
      <c r="U10" s="2">
        <v>0</v>
      </c>
      <c r="V10" s="2">
        <v>0.94</v>
      </c>
      <c r="W10" s="2" t="s">
        <v>292</v>
      </c>
      <c r="X10" s="2" t="s">
        <v>113</v>
      </c>
    </row>
    <row r="11" spans="1:24" ht="29" x14ac:dyDescent="0.35">
      <c r="A11" s="2" t="s">
        <v>487</v>
      </c>
      <c r="B11" s="2" t="s">
        <v>21</v>
      </c>
      <c r="C11" s="2" t="s">
        <v>279</v>
      </c>
      <c r="D11" s="2" t="s">
        <v>23</v>
      </c>
      <c r="E11" s="2" t="s">
        <v>24</v>
      </c>
      <c r="F11" s="2" t="s">
        <v>25</v>
      </c>
      <c r="G11" s="2" t="s">
        <v>119</v>
      </c>
      <c r="H11" s="2" t="s">
        <v>290</v>
      </c>
      <c r="I11" s="2" t="s">
        <v>482</v>
      </c>
      <c r="J11" s="2" t="s">
        <v>466</v>
      </c>
      <c r="K11" s="6">
        <v>46283.555115740739</v>
      </c>
      <c r="L11" s="6">
        <v>46283.561886574083</v>
      </c>
      <c r="M11" s="2">
        <v>585</v>
      </c>
      <c r="N11" s="2" t="s">
        <v>488</v>
      </c>
      <c r="O11" s="2" t="s">
        <v>479</v>
      </c>
      <c r="P11" s="2" t="s">
        <v>113</v>
      </c>
      <c r="Q11" s="2" t="s">
        <v>112</v>
      </c>
      <c r="R11" s="2" t="s">
        <v>113</v>
      </c>
      <c r="S11" s="2" t="s">
        <v>484</v>
      </c>
      <c r="T11" s="7" t="s">
        <v>113</v>
      </c>
      <c r="U11" s="2">
        <v>3</v>
      </c>
      <c r="V11" s="2">
        <v>0.94</v>
      </c>
      <c r="W11" s="2" t="s">
        <v>292</v>
      </c>
      <c r="X11" s="2" t="s">
        <v>113</v>
      </c>
    </row>
    <row r="12" spans="1:24" ht="29" x14ac:dyDescent="0.35">
      <c r="A12" s="2" t="s">
        <v>489</v>
      </c>
      <c r="B12" s="2" t="s">
        <v>21</v>
      </c>
      <c r="C12" s="2" t="s">
        <v>279</v>
      </c>
      <c r="D12" s="2" t="s">
        <v>23</v>
      </c>
      <c r="E12" s="2" t="s">
        <v>24</v>
      </c>
      <c r="F12" s="2" t="s">
        <v>25</v>
      </c>
      <c r="G12" s="2" t="s">
        <v>119</v>
      </c>
      <c r="H12" s="2" t="s">
        <v>290</v>
      </c>
      <c r="I12" s="2" t="s">
        <v>482</v>
      </c>
      <c r="J12" s="2" t="s">
        <v>466</v>
      </c>
      <c r="K12" s="6">
        <v>46283.561886574083</v>
      </c>
      <c r="L12" s="6">
        <v>46283.562118055554</v>
      </c>
      <c r="M12" s="2">
        <v>20</v>
      </c>
      <c r="N12" s="2" t="s">
        <v>490</v>
      </c>
      <c r="O12" s="2" t="s">
        <v>474</v>
      </c>
      <c r="P12" s="2" t="s">
        <v>113</v>
      </c>
      <c r="Q12" s="2" t="s">
        <v>113</v>
      </c>
      <c r="R12" s="2" t="s">
        <v>113</v>
      </c>
      <c r="S12" s="2" t="s">
        <v>484</v>
      </c>
      <c r="T12" s="2" t="s">
        <v>112</v>
      </c>
      <c r="U12" s="2">
        <v>0</v>
      </c>
      <c r="V12" s="2">
        <v>0.94</v>
      </c>
      <c r="W12" s="2" t="s">
        <v>292</v>
      </c>
      <c r="X12" s="2" t="s">
        <v>113</v>
      </c>
    </row>
    <row r="13" spans="1:24" ht="29" x14ac:dyDescent="0.35">
      <c r="A13" s="2" t="s">
        <v>491</v>
      </c>
      <c r="B13" s="2" t="s">
        <v>21</v>
      </c>
      <c r="C13" s="2" t="s">
        <v>279</v>
      </c>
      <c r="D13" s="2" t="s">
        <v>23</v>
      </c>
      <c r="E13" s="2" t="s">
        <v>24</v>
      </c>
      <c r="F13" s="2" t="s">
        <v>25</v>
      </c>
      <c r="G13" s="2" t="s">
        <v>119</v>
      </c>
      <c r="H13" s="2" t="s">
        <v>290</v>
      </c>
      <c r="I13" s="2" t="s">
        <v>482</v>
      </c>
      <c r="J13" s="2" t="s">
        <v>466</v>
      </c>
      <c r="K13" s="6">
        <v>46283.562118055554</v>
      </c>
      <c r="L13" s="6">
        <v>46283.565300925933</v>
      </c>
      <c r="M13" s="2">
        <v>275</v>
      </c>
      <c r="N13" s="2" t="s">
        <v>492</v>
      </c>
      <c r="O13" s="2" t="s">
        <v>479</v>
      </c>
      <c r="P13" s="2" t="s">
        <v>113</v>
      </c>
      <c r="Q13" s="2" t="s">
        <v>112</v>
      </c>
      <c r="R13" s="2" t="s">
        <v>113</v>
      </c>
      <c r="S13" s="2" t="s">
        <v>484</v>
      </c>
      <c r="T13" s="7" t="s">
        <v>113</v>
      </c>
      <c r="U13" s="2">
        <v>3</v>
      </c>
      <c r="V13" s="2">
        <v>0.94</v>
      </c>
      <c r="W13" s="2" t="s">
        <v>292</v>
      </c>
      <c r="X13" s="2" t="s">
        <v>113</v>
      </c>
    </row>
    <row r="14" spans="1:24" ht="29" x14ac:dyDescent="0.35">
      <c r="A14" s="2" t="s">
        <v>493</v>
      </c>
      <c r="B14" s="2" t="s">
        <v>21</v>
      </c>
      <c r="C14" s="2" t="s">
        <v>279</v>
      </c>
      <c r="D14" s="2" t="s">
        <v>23</v>
      </c>
      <c r="E14" s="2" t="s">
        <v>24</v>
      </c>
      <c r="F14" s="2" t="s">
        <v>25</v>
      </c>
      <c r="G14" s="2" t="s">
        <v>119</v>
      </c>
      <c r="H14" s="2" t="s">
        <v>290</v>
      </c>
      <c r="I14" s="2" t="s">
        <v>482</v>
      </c>
      <c r="J14" s="2" t="s">
        <v>466</v>
      </c>
      <c r="K14" s="6">
        <v>46283.565300925933</v>
      </c>
      <c r="L14" s="6">
        <v>46283.565532407411</v>
      </c>
      <c r="M14" s="2">
        <v>20</v>
      </c>
      <c r="N14" s="2" t="s">
        <v>494</v>
      </c>
      <c r="O14" s="2" t="s">
        <v>468</v>
      </c>
      <c r="P14" s="2" t="s">
        <v>113</v>
      </c>
      <c r="Q14" s="2" t="s">
        <v>113</v>
      </c>
      <c r="R14" s="2" t="s">
        <v>113</v>
      </c>
      <c r="S14" s="2" t="s">
        <v>495</v>
      </c>
      <c r="T14" s="2" t="s">
        <v>112</v>
      </c>
      <c r="U14" s="2">
        <v>0</v>
      </c>
      <c r="V14" s="2">
        <v>0.94</v>
      </c>
      <c r="W14" s="2" t="s">
        <v>292</v>
      </c>
      <c r="X14" s="2" t="s">
        <v>113</v>
      </c>
    </row>
    <row r="15" spans="1:24" ht="29" x14ac:dyDescent="0.35">
      <c r="A15" s="2" t="s">
        <v>496</v>
      </c>
      <c r="B15" s="2" t="s">
        <v>28</v>
      </c>
      <c r="C15" s="2" t="s">
        <v>367</v>
      </c>
      <c r="D15" s="2" t="s">
        <v>30</v>
      </c>
      <c r="E15" s="2" t="s">
        <v>31</v>
      </c>
      <c r="F15" s="2" t="s">
        <v>32</v>
      </c>
      <c r="G15" s="2" t="s">
        <v>119</v>
      </c>
      <c r="H15" s="2" t="s">
        <v>378</v>
      </c>
      <c r="I15" s="2" t="s">
        <v>497</v>
      </c>
      <c r="J15" s="2" t="s">
        <v>466</v>
      </c>
      <c r="K15" s="6">
        <v>46283.616666666669</v>
      </c>
      <c r="L15" s="6">
        <v>46283.618750000001</v>
      </c>
      <c r="M15" s="2">
        <v>180</v>
      </c>
      <c r="N15" s="2" t="s">
        <v>498</v>
      </c>
      <c r="O15" s="2" t="s">
        <v>474</v>
      </c>
      <c r="P15" s="2" t="s">
        <v>113</v>
      </c>
      <c r="Q15" s="2" t="s">
        <v>113</v>
      </c>
      <c r="R15" s="2" t="s">
        <v>113</v>
      </c>
      <c r="S15" s="2" t="s">
        <v>495</v>
      </c>
      <c r="T15" s="2" t="s">
        <v>112</v>
      </c>
      <c r="U15" s="2">
        <v>0</v>
      </c>
      <c r="V15" s="2">
        <v>0.94</v>
      </c>
      <c r="W15" s="2" t="s">
        <v>380</v>
      </c>
      <c r="X15" s="2" t="s">
        <v>113</v>
      </c>
    </row>
    <row r="16" spans="1:24" ht="29" x14ac:dyDescent="0.35">
      <c r="A16" s="2" t="s">
        <v>499</v>
      </c>
      <c r="B16" s="2" t="s">
        <v>28</v>
      </c>
      <c r="C16" s="2" t="s">
        <v>367</v>
      </c>
      <c r="D16" s="2" t="s">
        <v>30</v>
      </c>
      <c r="E16" s="2" t="s">
        <v>31</v>
      </c>
      <c r="F16" s="2" t="s">
        <v>32</v>
      </c>
      <c r="G16" s="2" t="s">
        <v>119</v>
      </c>
      <c r="H16" s="2" t="s">
        <v>378</v>
      </c>
      <c r="I16" s="2" t="s">
        <v>497</v>
      </c>
      <c r="J16" s="2" t="s">
        <v>466</v>
      </c>
      <c r="K16" s="6">
        <v>46283.618750000001</v>
      </c>
      <c r="L16" s="6">
        <v>46283.645138888889</v>
      </c>
      <c r="M16" s="2">
        <v>2280</v>
      </c>
      <c r="N16" s="2" t="s">
        <v>500</v>
      </c>
      <c r="O16" s="2" t="s">
        <v>468</v>
      </c>
      <c r="P16" s="2" t="s">
        <v>113</v>
      </c>
      <c r="Q16" s="2" t="s">
        <v>113</v>
      </c>
      <c r="R16" s="2" t="s">
        <v>113</v>
      </c>
      <c r="S16" s="2" t="s">
        <v>469</v>
      </c>
      <c r="T16" s="2" t="s">
        <v>112</v>
      </c>
      <c r="U16" s="2">
        <v>0</v>
      </c>
      <c r="V16" s="2">
        <v>0.94</v>
      </c>
      <c r="W16" s="2" t="s">
        <v>380</v>
      </c>
      <c r="X16" s="2" t="s">
        <v>113</v>
      </c>
    </row>
    <row r="17" spans="1:24" ht="29" x14ac:dyDescent="0.35">
      <c r="A17" s="2" t="s">
        <v>501</v>
      </c>
      <c r="B17" s="2" t="s">
        <v>28</v>
      </c>
      <c r="C17" s="2" t="s">
        <v>367</v>
      </c>
      <c r="D17" s="2" t="s">
        <v>30</v>
      </c>
      <c r="E17" s="2" t="s">
        <v>31</v>
      </c>
      <c r="F17" s="2" t="s">
        <v>32</v>
      </c>
      <c r="G17" s="2" t="s">
        <v>119</v>
      </c>
      <c r="H17" s="2" t="s">
        <v>378</v>
      </c>
      <c r="I17" s="2" t="s">
        <v>497</v>
      </c>
      <c r="J17" s="2" t="s">
        <v>466</v>
      </c>
      <c r="K17" s="6">
        <v>46283.645138888889</v>
      </c>
      <c r="L17" s="6">
        <v>46283.649305555547</v>
      </c>
      <c r="M17" s="2">
        <v>360</v>
      </c>
      <c r="N17" s="2" t="s">
        <v>502</v>
      </c>
      <c r="O17" s="2" t="s">
        <v>474</v>
      </c>
      <c r="P17" s="2" t="s">
        <v>113</v>
      </c>
      <c r="Q17" s="2" t="s">
        <v>113</v>
      </c>
      <c r="R17" s="2" t="s">
        <v>113</v>
      </c>
      <c r="S17" s="2" t="s">
        <v>475</v>
      </c>
      <c r="T17" s="2" t="s">
        <v>112</v>
      </c>
      <c r="U17" s="2">
        <v>0</v>
      </c>
      <c r="V17" s="2">
        <v>0.94</v>
      </c>
      <c r="W17" s="2" t="s">
        <v>380</v>
      </c>
      <c r="X17" s="2" t="s">
        <v>113</v>
      </c>
    </row>
  </sheetData>
  <mergeCells count="2">
    <mergeCell ref="A2:X2"/>
    <mergeCell ref="A1:X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8"/>
  <sheetViews>
    <sheetView workbookViewId="0">
      <pane xSplit="5" ySplit="4" topLeftCell="F5" activePane="bottomRight" state="frozen"/>
      <selection pane="topRight"/>
      <selection pane="bottomLeft"/>
      <selection pane="bottomRight" sqref="A1:S1"/>
    </sheetView>
  </sheetViews>
  <sheetFormatPr defaultRowHeight="14.5" x14ac:dyDescent="0.35"/>
  <cols>
    <col min="1" max="1" width="16" customWidth="1"/>
    <col min="2" max="2" width="38" customWidth="1"/>
    <col min="3" max="3" width="20" customWidth="1"/>
    <col min="4" max="4" width="20.453125" customWidth="1"/>
    <col min="5" max="6" width="16" customWidth="1"/>
    <col min="7" max="8" width="38" customWidth="1"/>
    <col min="9" max="17" width="16" customWidth="1"/>
    <col min="18" max="18" width="38" customWidth="1"/>
    <col min="19" max="19" width="16" customWidth="1"/>
  </cols>
  <sheetData>
    <row r="1" spans="1:19" ht="26.15" customHeight="1" x14ac:dyDescent="0.35">
      <c r="A1" s="12" t="s">
        <v>503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36" customHeight="1" x14ac:dyDescent="0.35">
      <c r="A2" s="10" t="s">
        <v>504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spans="1:19" ht="36" customHeight="1" x14ac:dyDescent="0.35">
      <c r="A4" s="9" t="s">
        <v>505</v>
      </c>
      <c r="B4" s="9" t="s">
        <v>38</v>
      </c>
      <c r="C4" s="9" t="s">
        <v>506</v>
      </c>
      <c r="D4" s="9" t="s">
        <v>507</v>
      </c>
      <c r="E4" s="9" t="s">
        <v>508</v>
      </c>
      <c r="F4" s="9" t="s">
        <v>509</v>
      </c>
      <c r="G4" s="9" t="s">
        <v>510</v>
      </c>
      <c r="H4" s="9" t="s">
        <v>511</v>
      </c>
      <c r="I4" s="9" t="s">
        <v>4</v>
      </c>
      <c r="J4" s="9" t="s">
        <v>5</v>
      </c>
      <c r="K4" s="9" t="s">
        <v>6</v>
      </c>
      <c r="L4" s="9" t="s">
        <v>80</v>
      </c>
      <c r="M4" s="9" t="s">
        <v>7</v>
      </c>
      <c r="N4" s="9" t="s">
        <v>83</v>
      </c>
      <c r="O4" s="9" t="s">
        <v>84</v>
      </c>
      <c r="P4" s="9" t="s">
        <v>86</v>
      </c>
      <c r="Q4" s="9" t="s">
        <v>52</v>
      </c>
      <c r="R4" s="9" t="s">
        <v>512</v>
      </c>
      <c r="S4" s="9" t="s">
        <v>513</v>
      </c>
    </row>
    <row r="5" spans="1:19" ht="29" x14ac:dyDescent="0.35">
      <c r="A5" s="2">
        <v>1</v>
      </c>
      <c r="B5" s="2" t="s">
        <v>14</v>
      </c>
      <c r="C5" s="6">
        <v>46280.375</v>
      </c>
      <c r="D5" s="6">
        <v>46280.375092592592</v>
      </c>
      <c r="E5" s="2" t="s">
        <v>514</v>
      </c>
      <c r="F5" s="2" t="s">
        <v>97</v>
      </c>
      <c r="G5" s="2" t="s">
        <v>99</v>
      </c>
      <c r="H5" s="2" t="s">
        <v>515</v>
      </c>
      <c r="I5" s="2" t="s">
        <v>16</v>
      </c>
      <c r="J5" s="2" t="s">
        <v>17</v>
      </c>
      <c r="K5" s="2" t="s">
        <v>18</v>
      </c>
      <c r="L5" s="2" t="s">
        <v>116</v>
      </c>
      <c r="M5" s="2" t="s">
        <v>19</v>
      </c>
      <c r="N5" s="2" t="s">
        <v>119</v>
      </c>
      <c r="O5" s="2" t="s">
        <v>120</v>
      </c>
      <c r="P5" s="2" t="s">
        <v>122</v>
      </c>
      <c r="Q5" s="2">
        <v>8</v>
      </c>
      <c r="R5" s="2"/>
      <c r="S5" s="2" t="s">
        <v>113</v>
      </c>
    </row>
    <row r="6" spans="1:19" ht="29" x14ac:dyDescent="0.35">
      <c r="A6" s="2">
        <v>2</v>
      </c>
      <c r="B6" s="2" t="s">
        <v>14</v>
      </c>
      <c r="C6" s="6">
        <v>46280.375092592592</v>
      </c>
      <c r="D6" s="6">
        <v>46280.375254629631</v>
      </c>
      <c r="E6" s="2" t="s">
        <v>514</v>
      </c>
      <c r="F6" s="2" t="s">
        <v>97</v>
      </c>
      <c r="G6" s="2" t="s">
        <v>126</v>
      </c>
      <c r="H6" s="2" t="s">
        <v>516</v>
      </c>
      <c r="I6" s="2" t="s">
        <v>16</v>
      </c>
      <c r="J6" s="2" t="s">
        <v>17</v>
      </c>
      <c r="K6" s="2" t="s">
        <v>18</v>
      </c>
      <c r="L6" s="2" t="s">
        <v>116</v>
      </c>
      <c r="M6" s="2" t="s">
        <v>19</v>
      </c>
      <c r="N6" s="2" t="s">
        <v>119</v>
      </c>
      <c r="O6" s="2" t="s">
        <v>120</v>
      </c>
      <c r="P6" s="2" t="s">
        <v>122</v>
      </c>
      <c r="Q6" s="2">
        <v>14</v>
      </c>
      <c r="R6" s="2"/>
      <c r="S6" s="2" t="s">
        <v>113</v>
      </c>
    </row>
    <row r="7" spans="1:19" ht="29" x14ac:dyDescent="0.35">
      <c r="A7" s="2">
        <v>3</v>
      </c>
      <c r="B7" s="2" t="s">
        <v>14</v>
      </c>
      <c r="C7" s="6">
        <v>46280.375254629631</v>
      </c>
      <c r="D7" s="6">
        <v>46280.3753125</v>
      </c>
      <c r="E7" s="2" t="s">
        <v>514</v>
      </c>
      <c r="F7" s="2" t="s">
        <v>135</v>
      </c>
      <c r="G7" s="2" t="s">
        <v>137</v>
      </c>
      <c r="H7" s="2" t="s">
        <v>517</v>
      </c>
      <c r="I7" s="2" t="s">
        <v>16</v>
      </c>
      <c r="J7" s="2" t="s">
        <v>17</v>
      </c>
      <c r="K7" s="2" t="s">
        <v>18</v>
      </c>
      <c r="L7" s="2" t="s">
        <v>116</v>
      </c>
      <c r="M7" s="2" t="s">
        <v>19</v>
      </c>
      <c r="N7" s="2" t="s">
        <v>119</v>
      </c>
      <c r="O7" s="2" t="s">
        <v>120</v>
      </c>
      <c r="P7" s="2" t="s">
        <v>122</v>
      </c>
      <c r="Q7" s="2">
        <v>5</v>
      </c>
      <c r="R7" s="2"/>
      <c r="S7" s="2" t="s">
        <v>113</v>
      </c>
    </row>
    <row r="8" spans="1:19" ht="29" x14ac:dyDescent="0.35">
      <c r="A8" s="2">
        <v>4</v>
      </c>
      <c r="B8" s="2" t="s">
        <v>14</v>
      </c>
      <c r="C8" s="6">
        <v>46280.3753125</v>
      </c>
      <c r="D8" s="6">
        <v>46280.375451388893</v>
      </c>
      <c r="E8" s="2" t="s">
        <v>514</v>
      </c>
      <c r="F8" s="2" t="s">
        <v>135</v>
      </c>
      <c r="G8" s="2" t="s">
        <v>148</v>
      </c>
      <c r="H8" s="2" t="s">
        <v>518</v>
      </c>
      <c r="I8" s="2" t="s">
        <v>16</v>
      </c>
      <c r="J8" s="2" t="s">
        <v>17</v>
      </c>
      <c r="K8" s="2" t="s">
        <v>18</v>
      </c>
      <c r="L8" s="2" t="s">
        <v>116</v>
      </c>
      <c r="M8" s="2" t="s">
        <v>19</v>
      </c>
      <c r="N8" s="2" t="s">
        <v>119</v>
      </c>
      <c r="O8" s="2" t="s">
        <v>120</v>
      </c>
      <c r="P8" s="2" t="s">
        <v>122</v>
      </c>
      <c r="Q8" s="2">
        <v>12</v>
      </c>
      <c r="R8" s="2"/>
      <c r="S8" s="2" t="s">
        <v>113</v>
      </c>
    </row>
    <row r="9" spans="1:19" ht="29" x14ac:dyDescent="0.35">
      <c r="A9" s="2">
        <v>5</v>
      </c>
      <c r="B9" s="2" t="s">
        <v>14</v>
      </c>
      <c r="C9" s="6">
        <v>46280.375451388893</v>
      </c>
      <c r="D9" s="6">
        <v>46280.37572916667</v>
      </c>
      <c r="E9" s="2" t="s">
        <v>514</v>
      </c>
      <c r="F9" s="2" t="s">
        <v>135</v>
      </c>
      <c r="G9" s="2" t="s">
        <v>153</v>
      </c>
      <c r="H9" s="2" t="s">
        <v>519</v>
      </c>
      <c r="I9" s="2" t="s">
        <v>16</v>
      </c>
      <c r="J9" s="2" t="s">
        <v>17</v>
      </c>
      <c r="K9" s="2" t="s">
        <v>18</v>
      </c>
      <c r="L9" s="2" t="s">
        <v>116</v>
      </c>
      <c r="M9" s="2" t="s">
        <v>19</v>
      </c>
      <c r="N9" s="2" t="s">
        <v>119</v>
      </c>
      <c r="O9" s="2" t="s">
        <v>120</v>
      </c>
      <c r="P9" s="2" t="s">
        <v>122</v>
      </c>
      <c r="Q9" s="2">
        <v>24</v>
      </c>
      <c r="R9" s="2"/>
      <c r="S9" s="2" t="s">
        <v>113</v>
      </c>
    </row>
    <row r="10" spans="1:19" ht="29" x14ac:dyDescent="0.35">
      <c r="A10" s="2">
        <v>6</v>
      </c>
      <c r="B10" s="2" t="s">
        <v>14</v>
      </c>
      <c r="C10" s="6">
        <v>46280.37572916667</v>
      </c>
      <c r="D10" s="6">
        <v>46280.375798611109</v>
      </c>
      <c r="E10" s="2" t="s">
        <v>514</v>
      </c>
      <c r="F10" s="2" t="s">
        <v>161</v>
      </c>
      <c r="G10" s="2" t="s">
        <v>163</v>
      </c>
      <c r="H10" s="2" t="s">
        <v>520</v>
      </c>
      <c r="I10" s="2" t="s">
        <v>16</v>
      </c>
      <c r="J10" s="2" t="s">
        <v>17</v>
      </c>
      <c r="K10" s="2" t="s">
        <v>18</v>
      </c>
      <c r="L10" s="2" t="s">
        <v>116</v>
      </c>
      <c r="M10" s="2" t="s">
        <v>19</v>
      </c>
      <c r="N10" s="2" t="s">
        <v>119</v>
      </c>
      <c r="O10" s="2" t="s">
        <v>120</v>
      </c>
      <c r="P10" s="2" t="s">
        <v>122</v>
      </c>
      <c r="Q10" s="2">
        <v>6</v>
      </c>
      <c r="R10" s="2"/>
      <c r="S10" s="2" t="s">
        <v>113</v>
      </c>
    </row>
    <row r="11" spans="1:19" ht="29" x14ac:dyDescent="0.35">
      <c r="A11" s="2">
        <v>7</v>
      </c>
      <c r="B11" s="2" t="s">
        <v>14</v>
      </c>
      <c r="C11" s="6">
        <v>46280.375798611109</v>
      </c>
      <c r="D11" s="6">
        <v>46280.375983796293</v>
      </c>
      <c r="E11" s="2" t="s">
        <v>514</v>
      </c>
      <c r="F11" s="2" t="s">
        <v>161</v>
      </c>
      <c r="G11" s="2" t="s">
        <v>171</v>
      </c>
      <c r="H11" s="2" t="s">
        <v>521</v>
      </c>
      <c r="I11" s="2" t="s">
        <v>16</v>
      </c>
      <c r="J11" s="2" t="s">
        <v>17</v>
      </c>
      <c r="K11" s="2" t="s">
        <v>18</v>
      </c>
      <c r="L11" s="2" t="s">
        <v>116</v>
      </c>
      <c r="M11" s="2" t="s">
        <v>19</v>
      </c>
      <c r="N11" s="2" t="s">
        <v>119</v>
      </c>
      <c r="O11" s="2" t="s">
        <v>120</v>
      </c>
      <c r="P11" s="2" t="s">
        <v>122</v>
      </c>
      <c r="Q11" s="2">
        <v>16</v>
      </c>
      <c r="R11" s="2"/>
      <c r="S11" s="2" t="s">
        <v>113</v>
      </c>
    </row>
    <row r="12" spans="1:19" ht="29" x14ac:dyDescent="0.35">
      <c r="A12" s="2">
        <v>8</v>
      </c>
      <c r="B12" s="2" t="s">
        <v>14</v>
      </c>
      <c r="C12" s="6">
        <v>46280.375983796293</v>
      </c>
      <c r="D12" s="6">
        <v>46280.376215277778</v>
      </c>
      <c r="E12" s="2" t="s">
        <v>514</v>
      </c>
      <c r="F12" s="2" t="s">
        <v>161</v>
      </c>
      <c r="G12" s="2" t="s">
        <v>178</v>
      </c>
      <c r="H12" s="2" t="s">
        <v>522</v>
      </c>
      <c r="I12" s="2" t="s">
        <v>16</v>
      </c>
      <c r="J12" s="2" t="s">
        <v>17</v>
      </c>
      <c r="K12" s="2" t="s">
        <v>18</v>
      </c>
      <c r="L12" s="2" t="s">
        <v>116</v>
      </c>
      <c r="M12" s="2" t="s">
        <v>19</v>
      </c>
      <c r="N12" s="2" t="s">
        <v>119</v>
      </c>
      <c r="O12" s="2" t="s">
        <v>120</v>
      </c>
      <c r="P12" s="2" t="s">
        <v>122</v>
      </c>
      <c r="Q12" s="2">
        <v>20</v>
      </c>
      <c r="R12" s="2"/>
      <c r="S12" s="2" t="s">
        <v>113</v>
      </c>
    </row>
    <row r="13" spans="1:19" ht="29" x14ac:dyDescent="0.35">
      <c r="A13" s="2">
        <v>9</v>
      </c>
      <c r="B13" s="2" t="s">
        <v>14</v>
      </c>
      <c r="C13" s="6">
        <v>46283.53125</v>
      </c>
      <c r="D13" s="6">
        <v>46283.531365740739</v>
      </c>
      <c r="E13" s="2" t="s">
        <v>514</v>
      </c>
      <c r="F13" s="2" t="s">
        <v>184</v>
      </c>
      <c r="G13" s="2" t="s">
        <v>186</v>
      </c>
      <c r="H13" s="2" t="s">
        <v>523</v>
      </c>
      <c r="I13" s="2" t="s">
        <v>16</v>
      </c>
      <c r="J13" s="2" t="s">
        <v>17</v>
      </c>
      <c r="K13" s="2" t="s">
        <v>18</v>
      </c>
      <c r="L13" s="2" t="s">
        <v>116</v>
      </c>
      <c r="M13" s="2" t="s">
        <v>19</v>
      </c>
      <c r="N13" s="2" t="s">
        <v>119</v>
      </c>
      <c r="O13" s="2" t="s">
        <v>120</v>
      </c>
      <c r="P13" s="2" t="s">
        <v>122</v>
      </c>
      <c r="Q13" s="2">
        <v>10</v>
      </c>
      <c r="R13" s="2"/>
      <c r="S13" s="2" t="s">
        <v>113</v>
      </c>
    </row>
    <row r="14" spans="1:19" ht="29" x14ac:dyDescent="0.35">
      <c r="A14" s="2">
        <v>10</v>
      </c>
      <c r="B14" s="2" t="s">
        <v>14</v>
      </c>
      <c r="C14" s="6">
        <v>46283.531365740739</v>
      </c>
      <c r="D14" s="6">
        <v>46283.531504629631</v>
      </c>
      <c r="E14" s="2" t="s">
        <v>514</v>
      </c>
      <c r="F14" s="2" t="s">
        <v>184</v>
      </c>
      <c r="G14" s="2" t="s">
        <v>193</v>
      </c>
      <c r="H14" s="2" t="s">
        <v>524</v>
      </c>
      <c r="I14" s="2" t="s">
        <v>16</v>
      </c>
      <c r="J14" s="2" t="s">
        <v>17</v>
      </c>
      <c r="K14" s="2" t="s">
        <v>18</v>
      </c>
      <c r="L14" s="2" t="s">
        <v>116</v>
      </c>
      <c r="M14" s="2" t="s">
        <v>19</v>
      </c>
      <c r="N14" s="2" t="s">
        <v>119</v>
      </c>
      <c r="O14" s="2" t="s">
        <v>120</v>
      </c>
      <c r="P14" s="2" t="s">
        <v>122</v>
      </c>
      <c r="Q14" s="2">
        <v>12</v>
      </c>
      <c r="R14" s="2"/>
      <c r="S14" s="2" t="s">
        <v>113</v>
      </c>
    </row>
    <row r="15" spans="1:19" ht="29" x14ac:dyDescent="0.35">
      <c r="A15" s="2">
        <v>11</v>
      </c>
      <c r="B15" s="2" t="s">
        <v>14</v>
      </c>
      <c r="C15" s="6">
        <v>46283.531504629631</v>
      </c>
      <c r="D15" s="6">
        <v>46283.531597222223</v>
      </c>
      <c r="E15" s="2" t="s">
        <v>514</v>
      </c>
      <c r="F15" s="2" t="s">
        <v>199</v>
      </c>
      <c r="G15" s="2" t="s">
        <v>201</v>
      </c>
      <c r="H15" s="2" t="s">
        <v>525</v>
      </c>
      <c r="I15" s="2" t="s">
        <v>16</v>
      </c>
      <c r="J15" s="2" t="s">
        <v>17</v>
      </c>
      <c r="K15" s="2" t="s">
        <v>18</v>
      </c>
      <c r="L15" s="2" t="s">
        <v>116</v>
      </c>
      <c r="M15" s="2" t="s">
        <v>19</v>
      </c>
      <c r="N15" s="2" t="s">
        <v>119</v>
      </c>
      <c r="O15" s="2" t="s">
        <v>120</v>
      </c>
      <c r="P15" s="2" t="s">
        <v>122</v>
      </c>
      <c r="Q15" s="2">
        <v>8</v>
      </c>
      <c r="R15" s="2"/>
      <c r="S15" s="2" t="s">
        <v>113</v>
      </c>
    </row>
    <row r="16" spans="1:19" ht="29" x14ac:dyDescent="0.35">
      <c r="A16" s="2">
        <v>12</v>
      </c>
      <c r="B16" s="2" t="s">
        <v>14</v>
      </c>
      <c r="C16" s="6">
        <v>46283.531597222223</v>
      </c>
      <c r="D16" s="6">
        <v>46283.532199074078</v>
      </c>
      <c r="E16" s="2" t="s">
        <v>514</v>
      </c>
      <c r="F16" s="2" t="s">
        <v>199</v>
      </c>
      <c r="G16" s="2" t="s">
        <v>208</v>
      </c>
      <c r="H16" s="2" t="s">
        <v>526</v>
      </c>
      <c r="I16" s="2" t="s">
        <v>16</v>
      </c>
      <c r="J16" s="2" t="s">
        <v>17</v>
      </c>
      <c r="K16" s="2" t="s">
        <v>18</v>
      </c>
      <c r="L16" s="2" t="s">
        <v>116</v>
      </c>
      <c r="M16" s="2" t="s">
        <v>19</v>
      </c>
      <c r="N16" s="2" t="s">
        <v>119</v>
      </c>
      <c r="O16" s="2" t="s">
        <v>120</v>
      </c>
      <c r="P16" s="2" t="s">
        <v>122</v>
      </c>
      <c r="Q16" s="2">
        <v>52</v>
      </c>
      <c r="R16" s="2"/>
      <c r="S16" s="2" t="s">
        <v>113</v>
      </c>
    </row>
    <row r="17" spans="1:19" ht="29" x14ac:dyDescent="0.35">
      <c r="A17" s="2">
        <v>13</v>
      </c>
      <c r="B17" s="2" t="s">
        <v>14</v>
      </c>
      <c r="C17" s="6">
        <v>46283.532199074078</v>
      </c>
      <c r="D17" s="6">
        <v>46283.532453703701</v>
      </c>
      <c r="E17" s="2" t="s">
        <v>514</v>
      </c>
      <c r="F17" s="2" t="s">
        <v>199</v>
      </c>
      <c r="G17" s="2" t="s">
        <v>216</v>
      </c>
      <c r="H17" s="2" t="s">
        <v>527</v>
      </c>
      <c r="I17" s="2" t="s">
        <v>16</v>
      </c>
      <c r="J17" s="2" t="s">
        <v>17</v>
      </c>
      <c r="K17" s="2" t="s">
        <v>18</v>
      </c>
      <c r="L17" s="2" t="s">
        <v>116</v>
      </c>
      <c r="M17" s="2" t="s">
        <v>19</v>
      </c>
      <c r="N17" s="2" t="s">
        <v>119</v>
      </c>
      <c r="O17" s="2" t="s">
        <v>120</v>
      </c>
      <c r="P17" s="2" t="s">
        <v>122</v>
      </c>
      <c r="Q17" s="2">
        <v>22</v>
      </c>
      <c r="R17" s="2"/>
      <c r="S17" s="2" t="s">
        <v>113</v>
      </c>
    </row>
    <row r="18" spans="1:19" ht="29" x14ac:dyDescent="0.35">
      <c r="A18" s="2">
        <v>14</v>
      </c>
      <c r="B18" s="2" t="s">
        <v>14</v>
      </c>
      <c r="C18" s="6">
        <v>46283.538888888892</v>
      </c>
      <c r="D18" s="6">
        <v>46283.540972222218</v>
      </c>
      <c r="E18" s="2" t="s">
        <v>528</v>
      </c>
      <c r="F18" s="2" t="s">
        <v>529</v>
      </c>
      <c r="G18" s="2" t="s">
        <v>467</v>
      </c>
      <c r="H18" s="2" t="s">
        <v>530</v>
      </c>
      <c r="I18" s="2" t="s">
        <v>16</v>
      </c>
      <c r="J18" s="2" t="s">
        <v>17</v>
      </c>
      <c r="K18" s="2" t="s">
        <v>18</v>
      </c>
      <c r="L18" s="2" t="s">
        <v>116</v>
      </c>
      <c r="M18" s="2" t="s">
        <v>19</v>
      </c>
      <c r="N18" s="2" t="s">
        <v>119</v>
      </c>
      <c r="O18" s="2" t="s">
        <v>120</v>
      </c>
      <c r="P18" s="2" t="s">
        <v>122</v>
      </c>
      <c r="Q18" s="2">
        <v>180</v>
      </c>
      <c r="R18" s="2"/>
      <c r="S18" s="2" t="s">
        <v>113</v>
      </c>
    </row>
    <row r="19" spans="1:19" ht="29" x14ac:dyDescent="0.35">
      <c r="A19" s="2">
        <v>15</v>
      </c>
      <c r="B19" s="2" t="s">
        <v>14</v>
      </c>
      <c r="C19" s="6">
        <v>46283.540972222218</v>
      </c>
      <c r="D19" s="6">
        <v>46283.549305555563</v>
      </c>
      <c r="E19" s="2" t="s">
        <v>528</v>
      </c>
      <c r="F19" s="2" t="s">
        <v>529</v>
      </c>
      <c r="G19" s="2" t="s">
        <v>471</v>
      </c>
      <c r="H19" s="2" t="s">
        <v>530</v>
      </c>
      <c r="I19" s="2" t="s">
        <v>16</v>
      </c>
      <c r="J19" s="2" t="s">
        <v>17</v>
      </c>
      <c r="K19" s="2" t="s">
        <v>18</v>
      </c>
      <c r="L19" s="2" t="s">
        <v>116</v>
      </c>
      <c r="M19" s="2" t="s">
        <v>19</v>
      </c>
      <c r="N19" s="2" t="s">
        <v>119</v>
      </c>
      <c r="O19" s="2" t="s">
        <v>120</v>
      </c>
      <c r="P19" s="2" t="s">
        <v>122</v>
      </c>
      <c r="Q19" s="2">
        <v>720</v>
      </c>
      <c r="R19" s="2"/>
      <c r="S19" s="2" t="s">
        <v>113</v>
      </c>
    </row>
    <row r="20" spans="1:19" ht="29" x14ac:dyDescent="0.35">
      <c r="A20" s="2">
        <v>16</v>
      </c>
      <c r="B20" s="2" t="s">
        <v>14</v>
      </c>
      <c r="C20" s="6">
        <v>46283.548611111109</v>
      </c>
      <c r="D20" s="6">
        <v>46283.548703703702</v>
      </c>
      <c r="E20" s="2" t="s">
        <v>514</v>
      </c>
      <c r="F20" s="2" t="s">
        <v>222</v>
      </c>
      <c r="G20" s="2" t="s">
        <v>224</v>
      </c>
      <c r="H20" s="2" t="s">
        <v>531</v>
      </c>
      <c r="I20" s="2" t="s">
        <v>16</v>
      </c>
      <c r="J20" s="2" t="s">
        <v>17</v>
      </c>
      <c r="K20" s="2" t="s">
        <v>18</v>
      </c>
      <c r="L20" s="2" t="s">
        <v>116</v>
      </c>
      <c r="M20" s="2" t="s">
        <v>19</v>
      </c>
      <c r="N20" s="2" t="s">
        <v>119</v>
      </c>
      <c r="O20" s="2" t="s">
        <v>120</v>
      </c>
      <c r="P20" s="2" t="s">
        <v>122</v>
      </c>
      <c r="Q20" s="2">
        <v>8</v>
      </c>
      <c r="R20" s="2"/>
      <c r="S20" s="2" t="s">
        <v>113</v>
      </c>
    </row>
    <row r="21" spans="1:19" ht="29" x14ac:dyDescent="0.35">
      <c r="A21" s="2">
        <v>17</v>
      </c>
      <c r="B21" s="2" t="s">
        <v>14</v>
      </c>
      <c r="C21" s="6">
        <v>46283.549305555563</v>
      </c>
      <c r="D21" s="6">
        <v>46283.551388888889</v>
      </c>
      <c r="E21" s="2" t="s">
        <v>528</v>
      </c>
      <c r="F21" s="2" t="s">
        <v>529</v>
      </c>
      <c r="G21" s="2" t="s">
        <v>473</v>
      </c>
      <c r="H21" s="2" t="s">
        <v>532</v>
      </c>
      <c r="I21" s="2" t="s">
        <v>16</v>
      </c>
      <c r="J21" s="2" t="s">
        <v>17</v>
      </c>
      <c r="K21" s="2" t="s">
        <v>18</v>
      </c>
      <c r="L21" s="2" t="s">
        <v>116</v>
      </c>
      <c r="M21" s="2" t="s">
        <v>19</v>
      </c>
      <c r="N21" s="2" t="s">
        <v>119</v>
      </c>
      <c r="O21" s="2" t="s">
        <v>120</v>
      </c>
      <c r="P21" s="2" t="s">
        <v>122</v>
      </c>
      <c r="Q21" s="2">
        <v>180</v>
      </c>
      <c r="R21" s="2"/>
      <c r="S21" s="2" t="s">
        <v>113</v>
      </c>
    </row>
    <row r="22" spans="1:19" ht="29" x14ac:dyDescent="0.35">
      <c r="A22" s="2">
        <v>18</v>
      </c>
      <c r="B22" s="2" t="s">
        <v>14</v>
      </c>
      <c r="C22" s="6">
        <v>46283.551388888889</v>
      </c>
      <c r="D22" s="6">
        <v>46283.55159722222</v>
      </c>
      <c r="E22" s="2" t="s">
        <v>514</v>
      </c>
      <c r="F22" s="2" t="s">
        <v>230</v>
      </c>
      <c r="G22" s="2" t="s">
        <v>232</v>
      </c>
      <c r="H22" s="2" t="s">
        <v>533</v>
      </c>
      <c r="I22" s="2" t="s">
        <v>16</v>
      </c>
      <c r="J22" s="2" t="s">
        <v>17</v>
      </c>
      <c r="K22" s="2" t="s">
        <v>18</v>
      </c>
      <c r="L22" s="2" t="s">
        <v>116</v>
      </c>
      <c r="M22" s="2" t="s">
        <v>19</v>
      </c>
      <c r="N22" s="2" t="s">
        <v>119</v>
      </c>
      <c r="O22" s="2" t="s">
        <v>120</v>
      </c>
      <c r="P22" s="2" t="s">
        <v>122</v>
      </c>
      <c r="Q22" s="2">
        <v>18</v>
      </c>
      <c r="R22" s="2"/>
      <c r="S22" s="2" t="s">
        <v>113</v>
      </c>
    </row>
    <row r="23" spans="1:19" ht="43.5" x14ac:dyDescent="0.35">
      <c r="A23" s="2">
        <v>19</v>
      </c>
      <c r="B23" s="2" t="s">
        <v>14</v>
      </c>
      <c r="C23" s="6">
        <v>46283.551388888889</v>
      </c>
      <c r="D23" s="6">
        <v>46283.563194444447</v>
      </c>
      <c r="E23" s="2" t="s">
        <v>528</v>
      </c>
      <c r="F23" s="2" t="s">
        <v>529</v>
      </c>
      <c r="G23" s="2" t="s">
        <v>478</v>
      </c>
      <c r="H23" s="2" t="s">
        <v>534</v>
      </c>
      <c r="I23" s="2" t="s">
        <v>16</v>
      </c>
      <c r="J23" s="2" t="s">
        <v>17</v>
      </c>
      <c r="K23" s="2" t="s">
        <v>18</v>
      </c>
      <c r="L23" s="2" t="s">
        <v>116</v>
      </c>
      <c r="M23" s="2" t="s">
        <v>19</v>
      </c>
      <c r="N23" s="2" t="s">
        <v>119</v>
      </c>
      <c r="O23" s="2" t="s">
        <v>120</v>
      </c>
      <c r="P23" s="2" t="s">
        <v>122</v>
      </c>
      <c r="Q23" s="2">
        <v>1020</v>
      </c>
      <c r="R23" s="2" t="s">
        <v>535</v>
      </c>
      <c r="S23" s="2" t="s">
        <v>113</v>
      </c>
    </row>
    <row r="24" spans="1:19" ht="29" x14ac:dyDescent="0.35">
      <c r="A24" s="2">
        <v>20</v>
      </c>
      <c r="B24" s="2" t="s">
        <v>14</v>
      </c>
      <c r="C24" s="6">
        <v>46283.55159722222</v>
      </c>
      <c r="D24" s="6">
        <v>46283.551678240743</v>
      </c>
      <c r="E24" s="2" t="s">
        <v>514</v>
      </c>
      <c r="F24" s="2" t="s">
        <v>238</v>
      </c>
      <c r="G24" s="2" t="s">
        <v>240</v>
      </c>
      <c r="H24" s="2" t="s">
        <v>536</v>
      </c>
      <c r="I24" s="2" t="s">
        <v>16</v>
      </c>
      <c r="J24" s="2" t="s">
        <v>17</v>
      </c>
      <c r="K24" s="2" t="s">
        <v>18</v>
      </c>
      <c r="L24" s="2" t="s">
        <v>116</v>
      </c>
      <c r="M24" s="2" t="s">
        <v>19</v>
      </c>
      <c r="N24" s="2" t="s">
        <v>119</v>
      </c>
      <c r="O24" s="2" t="s">
        <v>120</v>
      </c>
      <c r="P24" s="2" t="s">
        <v>122</v>
      </c>
      <c r="Q24" s="2">
        <v>7</v>
      </c>
      <c r="R24" s="2"/>
      <c r="S24" s="2" t="s">
        <v>113</v>
      </c>
    </row>
    <row r="25" spans="1:19" ht="29" x14ac:dyDescent="0.35">
      <c r="A25" s="2">
        <v>21</v>
      </c>
      <c r="B25" s="2" t="s">
        <v>14</v>
      </c>
      <c r="C25" s="6">
        <v>46283.551678240743</v>
      </c>
      <c r="D25" s="6">
        <v>46283.561747685177</v>
      </c>
      <c r="E25" s="2" t="s">
        <v>514</v>
      </c>
      <c r="F25" s="2" t="s">
        <v>238</v>
      </c>
      <c r="G25" s="2" t="s">
        <v>248</v>
      </c>
      <c r="H25" s="2" t="s">
        <v>537</v>
      </c>
      <c r="I25" s="2" t="s">
        <v>16</v>
      </c>
      <c r="J25" s="2" t="s">
        <v>17</v>
      </c>
      <c r="K25" s="2" t="s">
        <v>18</v>
      </c>
      <c r="L25" s="2" t="s">
        <v>116</v>
      </c>
      <c r="M25" s="2" t="s">
        <v>19</v>
      </c>
      <c r="N25" s="2" t="s">
        <v>119</v>
      </c>
      <c r="O25" s="2" t="s">
        <v>120</v>
      </c>
      <c r="P25" s="2" t="s">
        <v>122</v>
      </c>
      <c r="Q25" s="2">
        <v>870</v>
      </c>
      <c r="R25" s="2" t="s">
        <v>254</v>
      </c>
      <c r="S25" s="2" t="s">
        <v>113</v>
      </c>
    </row>
    <row r="26" spans="1:19" ht="29" x14ac:dyDescent="0.35">
      <c r="A26" s="2">
        <v>22</v>
      </c>
      <c r="B26" s="2" t="s">
        <v>14</v>
      </c>
      <c r="C26" s="6">
        <v>46283.561747685177</v>
      </c>
      <c r="D26" s="6">
        <v>46283.563136574077</v>
      </c>
      <c r="E26" s="2" t="s">
        <v>514</v>
      </c>
      <c r="F26" s="2" t="s">
        <v>238</v>
      </c>
      <c r="G26" s="2" t="s">
        <v>259</v>
      </c>
      <c r="H26" s="2" t="s">
        <v>538</v>
      </c>
      <c r="I26" s="2" t="s">
        <v>16</v>
      </c>
      <c r="J26" s="2" t="s">
        <v>17</v>
      </c>
      <c r="K26" s="2" t="s">
        <v>18</v>
      </c>
      <c r="L26" s="2" t="s">
        <v>116</v>
      </c>
      <c r="M26" s="2" t="s">
        <v>19</v>
      </c>
      <c r="N26" s="2" t="s">
        <v>119</v>
      </c>
      <c r="O26" s="2" t="s">
        <v>120</v>
      </c>
      <c r="P26" s="2" t="s">
        <v>122</v>
      </c>
      <c r="Q26" s="2">
        <v>120</v>
      </c>
      <c r="R26" s="2" t="s">
        <v>262</v>
      </c>
      <c r="S26" s="2" t="s">
        <v>113</v>
      </c>
    </row>
    <row r="27" spans="1:19" ht="29" x14ac:dyDescent="0.35">
      <c r="A27" s="2">
        <v>23</v>
      </c>
      <c r="B27" s="2" t="s">
        <v>14</v>
      </c>
      <c r="C27" s="6">
        <v>46283.563136574077</v>
      </c>
      <c r="D27" s="6">
        <v>46283.563425925917</v>
      </c>
      <c r="E27" s="2" t="s">
        <v>514</v>
      </c>
      <c r="F27" s="2" t="s">
        <v>265</v>
      </c>
      <c r="G27" s="2" t="s">
        <v>267</v>
      </c>
      <c r="H27" s="2" t="s">
        <v>539</v>
      </c>
      <c r="I27" s="2" t="s">
        <v>16</v>
      </c>
      <c r="J27" s="2" t="s">
        <v>17</v>
      </c>
      <c r="K27" s="2" t="s">
        <v>18</v>
      </c>
      <c r="L27" s="2" t="s">
        <v>116</v>
      </c>
      <c r="M27" s="2" t="s">
        <v>19</v>
      </c>
      <c r="N27" s="2" t="s">
        <v>119</v>
      </c>
      <c r="O27" s="2" t="s">
        <v>120</v>
      </c>
      <c r="P27" s="2" t="s">
        <v>122</v>
      </c>
      <c r="Q27" s="2">
        <v>25</v>
      </c>
      <c r="R27" s="2"/>
      <c r="S27" s="2" t="s">
        <v>113</v>
      </c>
    </row>
    <row r="28" spans="1:19" ht="29" x14ac:dyDescent="0.35">
      <c r="A28" s="2">
        <v>24</v>
      </c>
      <c r="B28" s="2" t="s">
        <v>14</v>
      </c>
      <c r="C28" s="6">
        <v>46283.563425925917</v>
      </c>
      <c r="D28" s="6">
        <v>46283.563564814824</v>
      </c>
      <c r="E28" s="2" t="s">
        <v>514</v>
      </c>
      <c r="F28" s="2" t="s">
        <v>272</v>
      </c>
      <c r="G28" s="2" t="s">
        <v>274</v>
      </c>
      <c r="H28" s="2" t="s">
        <v>540</v>
      </c>
      <c r="I28" s="2" t="s">
        <v>16</v>
      </c>
      <c r="J28" s="2" t="s">
        <v>17</v>
      </c>
      <c r="K28" s="2" t="s">
        <v>18</v>
      </c>
      <c r="L28" s="2" t="s">
        <v>116</v>
      </c>
      <c r="M28" s="2" t="s">
        <v>19</v>
      </c>
      <c r="N28" s="2" t="s">
        <v>119</v>
      </c>
      <c r="O28" s="2" t="s">
        <v>120</v>
      </c>
      <c r="P28" s="2" t="s">
        <v>122</v>
      </c>
      <c r="Q28" s="2">
        <v>12</v>
      </c>
      <c r="R28" s="2"/>
      <c r="S28" s="2" t="s">
        <v>113</v>
      </c>
    </row>
    <row r="29" spans="1:19" ht="29" hidden="1" x14ac:dyDescent="0.35">
      <c r="A29" s="2">
        <v>1</v>
      </c>
      <c r="B29" s="2" t="s">
        <v>21</v>
      </c>
      <c r="C29" s="6">
        <v>46280.425000000003</v>
      </c>
      <c r="D29" s="6">
        <v>46280.425092592603</v>
      </c>
      <c r="E29" s="2" t="s">
        <v>514</v>
      </c>
      <c r="F29" s="2" t="s">
        <v>97</v>
      </c>
      <c r="G29" s="2" t="s">
        <v>99</v>
      </c>
      <c r="H29" s="2" t="s">
        <v>515</v>
      </c>
      <c r="I29" s="2" t="s">
        <v>23</v>
      </c>
      <c r="J29" s="2" t="s">
        <v>24</v>
      </c>
      <c r="K29" s="2" t="s">
        <v>25</v>
      </c>
      <c r="L29" s="2" t="s">
        <v>287</v>
      </c>
      <c r="M29" s="2" t="s">
        <v>26</v>
      </c>
      <c r="N29" s="2" t="s">
        <v>119</v>
      </c>
      <c r="O29" s="2" t="s">
        <v>290</v>
      </c>
      <c r="P29" s="2" t="s">
        <v>292</v>
      </c>
      <c r="Q29" s="2">
        <v>8</v>
      </c>
      <c r="R29" s="2"/>
      <c r="S29" s="2" t="s">
        <v>113</v>
      </c>
    </row>
    <row r="30" spans="1:19" ht="29" hidden="1" x14ac:dyDescent="0.35">
      <c r="A30" s="2">
        <v>2</v>
      </c>
      <c r="B30" s="2" t="s">
        <v>21</v>
      </c>
      <c r="C30" s="6">
        <v>46280.425092592603</v>
      </c>
      <c r="D30" s="6">
        <v>46280.425254629627</v>
      </c>
      <c r="E30" s="2" t="s">
        <v>514</v>
      </c>
      <c r="F30" s="2" t="s">
        <v>97</v>
      </c>
      <c r="G30" s="2" t="s">
        <v>126</v>
      </c>
      <c r="H30" s="2" t="s">
        <v>516</v>
      </c>
      <c r="I30" s="2" t="s">
        <v>23</v>
      </c>
      <c r="J30" s="2" t="s">
        <v>24</v>
      </c>
      <c r="K30" s="2" t="s">
        <v>25</v>
      </c>
      <c r="L30" s="2" t="s">
        <v>287</v>
      </c>
      <c r="M30" s="2" t="s">
        <v>26</v>
      </c>
      <c r="N30" s="2" t="s">
        <v>119</v>
      </c>
      <c r="O30" s="2" t="s">
        <v>290</v>
      </c>
      <c r="P30" s="2" t="s">
        <v>292</v>
      </c>
      <c r="Q30" s="2">
        <v>14</v>
      </c>
      <c r="R30" s="2"/>
      <c r="S30" s="2" t="s">
        <v>113</v>
      </c>
    </row>
    <row r="31" spans="1:19" ht="29" hidden="1" x14ac:dyDescent="0.35">
      <c r="A31" s="2">
        <v>3</v>
      </c>
      <c r="B31" s="2" t="s">
        <v>21</v>
      </c>
      <c r="C31" s="6">
        <v>46280.425254629627</v>
      </c>
      <c r="D31" s="6">
        <v>46280.425312500003</v>
      </c>
      <c r="E31" s="2" t="s">
        <v>514</v>
      </c>
      <c r="F31" s="2" t="s">
        <v>135</v>
      </c>
      <c r="G31" s="2" t="s">
        <v>137</v>
      </c>
      <c r="H31" s="2" t="s">
        <v>517</v>
      </c>
      <c r="I31" s="2" t="s">
        <v>23</v>
      </c>
      <c r="J31" s="2" t="s">
        <v>24</v>
      </c>
      <c r="K31" s="2" t="s">
        <v>25</v>
      </c>
      <c r="L31" s="2" t="s">
        <v>287</v>
      </c>
      <c r="M31" s="2" t="s">
        <v>26</v>
      </c>
      <c r="N31" s="2" t="s">
        <v>119</v>
      </c>
      <c r="O31" s="2" t="s">
        <v>290</v>
      </c>
      <c r="P31" s="2" t="s">
        <v>292</v>
      </c>
      <c r="Q31" s="2">
        <v>5</v>
      </c>
      <c r="R31" s="2"/>
      <c r="S31" s="2" t="s">
        <v>113</v>
      </c>
    </row>
    <row r="32" spans="1:19" ht="29" hidden="1" x14ac:dyDescent="0.35">
      <c r="A32" s="2">
        <v>4</v>
      </c>
      <c r="B32" s="2" t="s">
        <v>21</v>
      </c>
      <c r="C32" s="6">
        <v>46280.425312500003</v>
      </c>
      <c r="D32" s="6">
        <v>46280.425451388888</v>
      </c>
      <c r="E32" s="2" t="s">
        <v>514</v>
      </c>
      <c r="F32" s="2" t="s">
        <v>135</v>
      </c>
      <c r="G32" s="2" t="s">
        <v>148</v>
      </c>
      <c r="H32" s="2" t="s">
        <v>518</v>
      </c>
      <c r="I32" s="2" t="s">
        <v>23</v>
      </c>
      <c r="J32" s="2" t="s">
        <v>24</v>
      </c>
      <c r="K32" s="2" t="s">
        <v>25</v>
      </c>
      <c r="L32" s="2" t="s">
        <v>287</v>
      </c>
      <c r="M32" s="2" t="s">
        <v>26</v>
      </c>
      <c r="N32" s="2" t="s">
        <v>119</v>
      </c>
      <c r="O32" s="2" t="s">
        <v>290</v>
      </c>
      <c r="P32" s="2" t="s">
        <v>292</v>
      </c>
      <c r="Q32" s="2">
        <v>12</v>
      </c>
      <c r="R32" s="2"/>
      <c r="S32" s="2" t="s">
        <v>113</v>
      </c>
    </row>
    <row r="33" spans="1:19" ht="29" hidden="1" x14ac:dyDescent="0.35">
      <c r="A33" s="2">
        <v>5</v>
      </c>
      <c r="B33" s="2" t="s">
        <v>21</v>
      </c>
      <c r="C33" s="6">
        <v>46280.425451388888</v>
      </c>
      <c r="D33" s="6">
        <v>46280.425729166673</v>
      </c>
      <c r="E33" s="2" t="s">
        <v>514</v>
      </c>
      <c r="F33" s="2" t="s">
        <v>135</v>
      </c>
      <c r="G33" s="2" t="s">
        <v>153</v>
      </c>
      <c r="H33" s="2" t="s">
        <v>519</v>
      </c>
      <c r="I33" s="2" t="s">
        <v>23</v>
      </c>
      <c r="J33" s="2" t="s">
        <v>24</v>
      </c>
      <c r="K33" s="2" t="s">
        <v>25</v>
      </c>
      <c r="L33" s="2" t="s">
        <v>287</v>
      </c>
      <c r="M33" s="2" t="s">
        <v>26</v>
      </c>
      <c r="N33" s="2" t="s">
        <v>119</v>
      </c>
      <c r="O33" s="2" t="s">
        <v>290</v>
      </c>
      <c r="P33" s="2" t="s">
        <v>292</v>
      </c>
      <c r="Q33" s="2">
        <v>24</v>
      </c>
      <c r="R33" s="2"/>
      <c r="S33" s="2" t="s">
        <v>113</v>
      </c>
    </row>
    <row r="34" spans="1:19" ht="29" hidden="1" x14ac:dyDescent="0.35">
      <c r="A34" s="2">
        <v>6</v>
      </c>
      <c r="B34" s="2" t="s">
        <v>21</v>
      </c>
      <c r="C34" s="6">
        <v>46280.425729166673</v>
      </c>
      <c r="D34" s="6">
        <v>46280.425798611112</v>
      </c>
      <c r="E34" s="2" t="s">
        <v>514</v>
      </c>
      <c r="F34" s="2" t="s">
        <v>161</v>
      </c>
      <c r="G34" s="2" t="s">
        <v>163</v>
      </c>
      <c r="H34" s="2" t="s">
        <v>520</v>
      </c>
      <c r="I34" s="2" t="s">
        <v>23</v>
      </c>
      <c r="J34" s="2" t="s">
        <v>24</v>
      </c>
      <c r="K34" s="2" t="s">
        <v>25</v>
      </c>
      <c r="L34" s="2" t="s">
        <v>287</v>
      </c>
      <c r="M34" s="2" t="s">
        <v>26</v>
      </c>
      <c r="N34" s="2" t="s">
        <v>119</v>
      </c>
      <c r="O34" s="2" t="s">
        <v>290</v>
      </c>
      <c r="P34" s="2" t="s">
        <v>292</v>
      </c>
      <c r="Q34" s="2">
        <v>6</v>
      </c>
      <c r="R34" s="2"/>
      <c r="S34" s="2" t="s">
        <v>113</v>
      </c>
    </row>
    <row r="35" spans="1:19" ht="29" hidden="1" x14ac:dyDescent="0.35">
      <c r="A35" s="2">
        <v>7</v>
      </c>
      <c r="B35" s="2" t="s">
        <v>21</v>
      </c>
      <c r="C35" s="6">
        <v>46280.425798611112</v>
      </c>
      <c r="D35" s="6">
        <v>46280.425983796304</v>
      </c>
      <c r="E35" s="2" t="s">
        <v>514</v>
      </c>
      <c r="F35" s="2" t="s">
        <v>161</v>
      </c>
      <c r="G35" s="2" t="s">
        <v>171</v>
      </c>
      <c r="H35" s="2" t="s">
        <v>521</v>
      </c>
      <c r="I35" s="2" t="s">
        <v>23</v>
      </c>
      <c r="J35" s="2" t="s">
        <v>24</v>
      </c>
      <c r="K35" s="2" t="s">
        <v>25</v>
      </c>
      <c r="L35" s="2" t="s">
        <v>287</v>
      </c>
      <c r="M35" s="2" t="s">
        <v>26</v>
      </c>
      <c r="N35" s="2" t="s">
        <v>119</v>
      </c>
      <c r="O35" s="2" t="s">
        <v>290</v>
      </c>
      <c r="P35" s="2" t="s">
        <v>292</v>
      </c>
      <c r="Q35" s="2">
        <v>16</v>
      </c>
      <c r="R35" s="2"/>
      <c r="S35" s="2" t="s">
        <v>113</v>
      </c>
    </row>
    <row r="36" spans="1:19" ht="29" hidden="1" x14ac:dyDescent="0.35">
      <c r="A36" s="2">
        <v>8</v>
      </c>
      <c r="B36" s="2" t="s">
        <v>21</v>
      </c>
      <c r="C36" s="6">
        <v>46280.425983796304</v>
      </c>
      <c r="D36" s="6">
        <v>46280.426215277781</v>
      </c>
      <c r="E36" s="2" t="s">
        <v>514</v>
      </c>
      <c r="F36" s="2" t="s">
        <v>161</v>
      </c>
      <c r="G36" s="2" t="s">
        <v>178</v>
      </c>
      <c r="H36" s="2" t="s">
        <v>522</v>
      </c>
      <c r="I36" s="2" t="s">
        <v>23</v>
      </c>
      <c r="J36" s="2" t="s">
        <v>24</v>
      </c>
      <c r="K36" s="2" t="s">
        <v>25</v>
      </c>
      <c r="L36" s="2" t="s">
        <v>287</v>
      </c>
      <c r="M36" s="2" t="s">
        <v>26</v>
      </c>
      <c r="N36" s="2" t="s">
        <v>119</v>
      </c>
      <c r="O36" s="2" t="s">
        <v>290</v>
      </c>
      <c r="P36" s="2" t="s">
        <v>292</v>
      </c>
      <c r="Q36" s="2">
        <v>20</v>
      </c>
      <c r="R36" s="2"/>
      <c r="S36" s="2" t="s">
        <v>113</v>
      </c>
    </row>
    <row r="37" spans="1:19" ht="29" hidden="1" x14ac:dyDescent="0.35">
      <c r="A37" s="2">
        <v>9</v>
      </c>
      <c r="B37" s="2" t="s">
        <v>21</v>
      </c>
      <c r="C37" s="6">
        <v>46283.553344907406</v>
      </c>
      <c r="D37" s="6">
        <v>46283.553460648152</v>
      </c>
      <c r="E37" s="2" t="s">
        <v>514</v>
      </c>
      <c r="F37" s="2" t="s">
        <v>184</v>
      </c>
      <c r="G37" s="2" t="s">
        <v>186</v>
      </c>
      <c r="H37" s="2" t="s">
        <v>523</v>
      </c>
      <c r="I37" s="2" t="s">
        <v>23</v>
      </c>
      <c r="J37" s="2" t="s">
        <v>24</v>
      </c>
      <c r="K37" s="2" t="s">
        <v>25</v>
      </c>
      <c r="L37" s="2" t="s">
        <v>287</v>
      </c>
      <c r="M37" s="2" t="s">
        <v>26</v>
      </c>
      <c r="N37" s="2" t="s">
        <v>119</v>
      </c>
      <c r="O37" s="2" t="s">
        <v>290</v>
      </c>
      <c r="P37" s="2" t="s">
        <v>292</v>
      </c>
      <c r="Q37" s="2">
        <v>10</v>
      </c>
      <c r="R37" s="2"/>
      <c r="S37" s="2" t="s">
        <v>113</v>
      </c>
    </row>
    <row r="38" spans="1:19" ht="29" hidden="1" x14ac:dyDescent="0.35">
      <c r="A38" s="2">
        <v>10</v>
      </c>
      <c r="B38" s="2" t="s">
        <v>21</v>
      </c>
      <c r="C38" s="6">
        <v>46283.553460648152</v>
      </c>
      <c r="D38" s="6">
        <v>46283.553599537037</v>
      </c>
      <c r="E38" s="2" t="s">
        <v>514</v>
      </c>
      <c r="F38" s="2" t="s">
        <v>184</v>
      </c>
      <c r="G38" s="2" t="s">
        <v>193</v>
      </c>
      <c r="H38" s="2" t="s">
        <v>524</v>
      </c>
      <c r="I38" s="2" t="s">
        <v>23</v>
      </c>
      <c r="J38" s="2" t="s">
        <v>24</v>
      </c>
      <c r="K38" s="2" t="s">
        <v>25</v>
      </c>
      <c r="L38" s="2" t="s">
        <v>287</v>
      </c>
      <c r="M38" s="2" t="s">
        <v>26</v>
      </c>
      <c r="N38" s="2" t="s">
        <v>119</v>
      </c>
      <c r="O38" s="2" t="s">
        <v>290</v>
      </c>
      <c r="P38" s="2" t="s">
        <v>292</v>
      </c>
      <c r="Q38" s="2">
        <v>12</v>
      </c>
      <c r="R38" s="2"/>
      <c r="S38" s="2" t="s">
        <v>113</v>
      </c>
    </row>
    <row r="39" spans="1:19" ht="29" hidden="1" x14ac:dyDescent="0.35">
      <c r="A39" s="2">
        <v>11</v>
      </c>
      <c r="B39" s="2" t="s">
        <v>21</v>
      </c>
      <c r="C39" s="6">
        <v>46283.553599537037</v>
      </c>
      <c r="D39" s="6">
        <v>46283.55369212963</v>
      </c>
      <c r="E39" s="2" t="s">
        <v>514</v>
      </c>
      <c r="F39" s="2" t="s">
        <v>199</v>
      </c>
      <c r="G39" s="2" t="s">
        <v>201</v>
      </c>
      <c r="H39" s="2" t="s">
        <v>525</v>
      </c>
      <c r="I39" s="2" t="s">
        <v>23</v>
      </c>
      <c r="J39" s="2" t="s">
        <v>24</v>
      </c>
      <c r="K39" s="2" t="s">
        <v>25</v>
      </c>
      <c r="L39" s="2" t="s">
        <v>287</v>
      </c>
      <c r="M39" s="2" t="s">
        <v>26</v>
      </c>
      <c r="N39" s="2" t="s">
        <v>119</v>
      </c>
      <c r="O39" s="2" t="s">
        <v>290</v>
      </c>
      <c r="P39" s="2" t="s">
        <v>292</v>
      </c>
      <c r="Q39" s="2">
        <v>8</v>
      </c>
      <c r="R39" s="2"/>
      <c r="S39" s="2" t="s">
        <v>113</v>
      </c>
    </row>
    <row r="40" spans="1:19" ht="29" hidden="1" x14ac:dyDescent="0.35">
      <c r="A40" s="2">
        <v>12</v>
      </c>
      <c r="B40" s="2" t="s">
        <v>21</v>
      </c>
      <c r="C40" s="6">
        <v>46283.553668981483</v>
      </c>
      <c r="D40" s="6">
        <v>46283.554432870369</v>
      </c>
      <c r="E40" s="2" t="s">
        <v>514</v>
      </c>
      <c r="F40" s="2" t="s">
        <v>199</v>
      </c>
      <c r="G40" s="2" t="s">
        <v>208</v>
      </c>
      <c r="H40" s="2" t="s">
        <v>526</v>
      </c>
      <c r="I40" s="2" t="s">
        <v>23</v>
      </c>
      <c r="J40" s="2" t="s">
        <v>24</v>
      </c>
      <c r="K40" s="2" t="s">
        <v>25</v>
      </c>
      <c r="L40" s="2" t="s">
        <v>287</v>
      </c>
      <c r="M40" s="2" t="s">
        <v>26</v>
      </c>
      <c r="N40" s="2" t="s">
        <v>119</v>
      </c>
      <c r="O40" s="2" t="s">
        <v>290</v>
      </c>
      <c r="P40" s="2" t="s">
        <v>292</v>
      </c>
      <c r="Q40" s="2">
        <v>66</v>
      </c>
      <c r="R40" s="2"/>
      <c r="S40" s="2" t="s">
        <v>113</v>
      </c>
    </row>
    <row r="41" spans="1:19" ht="29" hidden="1" x14ac:dyDescent="0.35">
      <c r="A41" s="2">
        <v>13</v>
      </c>
      <c r="B41" s="2" t="s">
        <v>21</v>
      </c>
      <c r="C41" s="6">
        <v>46283.553668981483</v>
      </c>
      <c r="D41" s="6">
        <v>46283.554016203707</v>
      </c>
      <c r="E41" s="2" t="s">
        <v>528</v>
      </c>
      <c r="F41" s="2" t="s">
        <v>529</v>
      </c>
      <c r="G41" s="2" t="s">
        <v>483</v>
      </c>
      <c r="H41" s="2" t="s">
        <v>541</v>
      </c>
      <c r="I41" s="2" t="s">
        <v>23</v>
      </c>
      <c r="J41" s="2" t="s">
        <v>24</v>
      </c>
      <c r="K41" s="2" t="s">
        <v>25</v>
      </c>
      <c r="L41" s="2" t="s">
        <v>287</v>
      </c>
      <c r="M41" s="2" t="s">
        <v>26</v>
      </c>
      <c r="N41" s="2" t="s">
        <v>119</v>
      </c>
      <c r="O41" s="2" t="s">
        <v>290</v>
      </c>
      <c r="P41" s="2" t="s">
        <v>292</v>
      </c>
      <c r="Q41" s="2">
        <v>30</v>
      </c>
      <c r="R41" s="2"/>
      <c r="S41" s="2" t="s">
        <v>113</v>
      </c>
    </row>
    <row r="42" spans="1:19" ht="29" hidden="1" x14ac:dyDescent="0.35">
      <c r="A42" s="2">
        <v>14</v>
      </c>
      <c r="B42" s="2" t="s">
        <v>21</v>
      </c>
      <c r="C42" s="6">
        <v>46283.554016203707</v>
      </c>
      <c r="D42" s="6">
        <v>46283.555115740739</v>
      </c>
      <c r="E42" s="2" t="s">
        <v>528</v>
      </c>
      <c r="F42" s="2" t="s">
        <v>529</v>
      </c>
      <c r="G42" s="2" t="s">
        <v>486</v>
      </c>
      <c r="H42" s="2" t="s">
        <v>542</v>
      </c>
      <c r="I42" s="2" t="s">
        <v>23</v>
      </c>
      <c r="J42" s="2" t="s">
        <v>24</v>
      </c>
      <c r="K42" s="2" t="s">
        <v>25</v>
      </c>
      <c r="L42" s="2" t="s">
        <v>287</v>
      </c>
      <c r="M42" s="2" t="s">
        <v>26</v>
      </c>
      <c r="N42" s="2" t="s">
        <v>119</v>
      </c>
      <c r="O42" s="2" t="s">
        <v>290</v>
      </c>
      <c r="P42" s="2" t="s">
        <v>292</v>
      </c>
      <c r="Q42" s="2">
        <v>95</v>
      </c>
      <c r="R42" s="2"/>
      <c r="S42" s="2" t="s">
        <v>113</v>
      </c>
    </row>
    <row r="43" spans="1:19" ht="29" hidden="1" x14ac:dyDescent="0.35">
      <c r="A43" s="2">
        <v>15</v>
      </c>
      <c r="B43" s="2" t="s">
        <v>21</v>
      </c>
      <c r="C43" s="6">
        <v>46283.554432870369</v>
      </c>
      <c r="D43" s="6">
        <v>46283.561203703714</v>
      </c>
      <c r="E43" s="2" t="s">
        <v>514</v>
      </c>
      <c r="F43" s="2" t="s">
        <v>199</v>
      </c>
      <c r="G43" s="2" t="s">
        <v>328</v>
      </c>
      <c r="H43" s="2" t="s">
        <v>543</v>
      </c>
      <c r="I43" s="2" t="s">
        <v>23</v>
      </c>
      <c r="J43" s="2" t="s">
        <v>24</v>
      </c>
      <c r="K43" s="2" t="s">
        <v>25</v>
      </c>
      <c r="L43" s="2" t="s">
        <v>287</v>
      </c>
      <c r="M43" s="2" t="s">
        <v>26</v>
      </c>
      <c r="N43" s="2" t="s">
        <v>119</v>
      </c>
      <c r="O43" s="2" t="s">
        <v>290</v>
      </c>
      <c r="P43" s="2" t="s">
        <v>292</v>
      </c>
      <c r="Q43" s="2">
        <v>585</v>
      </c>
      <c r="R43" s="2" t="s">
        <v>331</v>
      </c>
      <c r="S43" s="2" t="s">
        <v>113</v>
      </c>
    </row>
    <row r="44" spans="1:19" ht="43.5" hidden="1" x14ac:dyDescent="0.35">
      <c r="A44" s="2">
        <v>16</v>
      </c>
      <c r="B44" s="2" t="s">
        <v>21</v>
      </c>
      <c r="C44" s="6">
        <v>46283.555115740739</v>
      </c>
      <c r="D44" s="6">
        <v>46283.561886574083</v>
      </c>
      <c r="E44" s="2" t="s">
        <v>528</v>
      </c>
      <c r="F44" s="2" t="s">
        <v>529</v>
      </c>
      <c r="G44" s="2" t="s">
        <v>488</v>
      </c>
      <c r="H44" s="2" t="s">
        <v>544</v>
      </c>
      <c r="I44" s="2" t="s">
        <v>23</v>
      </c>
      <c r="J44" s="2" t="s">
        <v>24</v>
      </c>
      <c r="K44" s="2" t="s">
        <v>25</v>
      </c>
      <c r="L44" s="2" t="s">
        <v>287</v>
      </c>
      <c r="M44" s="2" t="s">
        <v>26</v>
      </c>
      <c r="N44" s="2" t="s">
        <v>119</v>
      </c>
      <c r="O44" s="2" t="s">
        <v>290</v>
      </c>
      <c r="P44" s="2" t="s">
        <v>292</v>
      </c>
      <c r="Q44" s="2">
        <v>585</v>
      </c>
      <c r="R44" s="2" t="s">
        <v>535</v>
      </c>
      <c r="S44" s="2" t="s">
        <v>113</v>
      </c>
    </row>
    <row r="45" spans="1:19" ht="29" hidden="1" x14ac:dyDescent="0.35">
      <c r="A45" s="2">
        <v>17</v>
      </c>
      <c r="B45" s="2" t="s">
        <v>21</v>
      </c>
      <c r="C45" s="6">
        <v>46283.561203703714</v>
      </c>
      <c r="D45" s="6">
        <v>46283.563402777778</v>
      </c>
      <c r="E45" s="2" t="s">
        <v>514</v>
      </c>
      <c r="F45" s="2" t="s">
        <v>199</v>
      </c>
      <c r="G45" s="2" t="s">
        <v>335</v>
      </c>
      <c r="H45" s="2" t="s">
        <v>545</v>
      </c>
      <c r="I45" s="2" t="s">
        <v>23</v>
      </c>
      <c r="J45" s="2" t="s">
        <v>24</v>
      </c>
      <c r="K45" s="2" t="s">
        <v>25</v>
      </c>
      <c r="L45" s="2" t="s">
        <v>287</v>
      </c>
      <c r="M45" s="2" t="s">
        <v>26</v>
      </c>
      <c r="N45" s="2" t="s">
        <v>119</v>
      </c>
      <c r="O45" s="2" t="s">
        <v>290</v>
      </c>
      <c r="P45" s="2" t="s">
        <v>292</v>
      </c>
      <c r="Q45" s="2">
        <v>190</v>
      </c>
      <c r="R45" s="2" t="s">
        <v>340</v>
      </c>
      <c r="S45" s="2" t="s">
        <v>113</v>
      </c>
    </row>
    <row r="46" spans="1:19" ht="29" hidden="1" x14ac:dyDescent="0.35">
      <c r="A46" s="2">
        <v>18</v>
      </c>
      <c r="B46" s="2" t="s">
        <v>21</v>
      </c>
      <c r="C46" s="6">
        <v>46283.561886574083</v>
      </c>
      <c r="D46" s="6">
        <v>46283.562118055554</v>
      </c>
      <c r="E46" s="2" t="s">
        <v>528</v>
      </c>
      <c r="F46" s="2" t="s">
        <v>529</v>
      </c>
      <c r="G46" s="2" t="s">
        <v>490</v>
      </c>
      <c r="H46" s="2" t="s">
        <v>542</v>
      </c>
      <c r="I46" s="2" t="s">
        <v>23</v>
      </c>
      <c r="J46" s="2" t="s">
        <v>24</v>
      </c>
      <c r="K46" s="2" t="s">
        <v>25</v>
      </c>
      <c r="L46" s="2" t="s">
        <v>287</v>
      </c>
      <c r="M46" s="2" t="s">
        <v>26</v>
      </c>
      <c r="N46" s="2" t="s">
        <v>119</v>
      </c>
      <c r="O46" s="2" t="s">
        <v>290</v>
      </c>
      <c r="P46" s="2" t="s">
        <v>292</v>
      </c>
      <c r="Q46" s="2">
        <v>20</v>
      </c>
      <c r="R46" s="2"/>
      <c r="S46" s="2" t="s">
        <v>113</v>
      </c>
    </row>
    <row r="47" spans="1:19" ht="43.5" hidden="1" x14ac:dyDescent="0.35">
      <c r="A47" s="2">
        <v>19</v>
      </c>
      <c r="B47" s="2" t="s">
        <v>21</v>
      </c>
      <c r="C47" s="6">
        <v>46283.562118055554</v>
      </c>
      <c r="D47" s="6">
        <v>46283.565300925933</v>
      </c>
      <c r="E47" s="2" t="s">
        <v>528</v>
      </c>
      <c r="F47" s="2" t="s">
        <v>529</v>
      </c>
      <c r="G47" s="2" t="s">
        <v>492</v>
      </c>
      <c r="H47" s="2" t="s">
        <v>544</v>
      </c>
      <c r="I47" s="2" t="s">
        <v>23</v>
      </c>
      <c r="J47" s="2" t="s">
        <v>24</v>
      </c>
      <c r="K47" s="2" t="s">
        <v>25</v>
      </c>
      <c r="L47" s="2" t="s">
        <v>287</v>
      </c>
      <c r="M47" s="2" t="s">
        <v>26</v>
      </c>
      <c r="N47" s="2" t="s">
        <v>119</v>
      </c>
      <c r="O47" s="2" t="s">
        <v>290</v>
      </c>
      <c r="P47" s="2" t="s">
        <v>292</v>
      </c>
      <c r="Q47" s="2">
        <v>275</v>
      </c>
      <c r="R47" s="2" t="s">
        <v>535</v>
      </c>
      <c r="S47" s="2" t="s">
        <v>113</v>
      </c>
    </row>
    <row r="48" spans="1:19" ht="29" hidden="1" x14ac:dyDescent="0.35">
      <c r="A48" s="2">
        <v>20</v>
      </c>
      <c r="B48" s="2" t="s">
        <v>21</v>
      </c>
      <c r="C48" s="6">
        <v>46283.563402777778</v>
      </c>
      <c r="D48" s="6">
        <v>46283.563935185193</v>
      </c>
      <c r="E48" s="2" t="s">
        <v>514</v>
      </c>
      <c r="F48" s="2" t="s">
        <v>199</v>
      </c>
      <c r="G48" s="2" t="s">
        <v>344</v>
      </c>
      <c r="H48" s="2" t="s">
        <v>546</v>
      </c>
      <c r="I48" s="2" t="s">
        <v>23</v>
      </c>
      <c r="J48" s="2" t="s">
        <v>24</v>
      </c>
      <c r="K48" s="2" t="s">
        <v>25</v>
      </c>
      <c r="L48" s="2" t="s">
        <v>287</v>
      </c>
      <c r="M48" s="2" t="s">
        <v>26</v>
      </c>
      <c r="N48" s="2" t="s">
        <v>119</v>
      </c>
      <c r="O48" s="2" t="s">
        <v>290</v>
      </c>
      <c r="P48" s="2" t="s">
        <v>292</v>
      </c>
      <c r="Q48" s="2">
        <v>46</v>
      </c>
      <c r="R48" s="2"/>
      <c r="S48" s="2" t="s">
        <v>113</v>
      </c>
    </row>
    <row r="49" spans="1:19" ht="29" hidden="1" x14ac:dyDescent="0.35">
      <c r="A49" s="2">
        <v>21</v>
      </c>
      <c r="B49" s="2" t="s">
        <v>21</v>
      </c>
      <c r="C49" s="6">
        <v>46283.565300925933</v>
      </c>
      <c r="D49" s="6">
        <v>46283.565532407411</v>
      </c>
      <c r="E49" s="2" t="s">
        <v>528</v>
      </c>
      <c r="F49" s="2" t="s">
        <v>529</v>
      </c>
      <c r="G49" s="2" t="s">
        <v>494</v>
      </c>
      <c r="H49" s="2" t="s">
        <v>547</v>
      </c>
      <c r="I49" s="2" t="s">
        <v>23</v>
      </c>
      <c r="J49" s="2" t="s">
        <v>24</v>
      </c>
      <c r="K49" s="2" t="s">
        <v>25</v>
      </c>
      <c r="L49" s="2" t="s">
        <v>287</v>
      </c>
      <c r="M49" s="2" t="s">
        <v>26</v>
      </c>
      <c r="N49" s="2" t="s">
        <v>119</v>
      </c>
      <c r="O49" s="2" t="s">
        <v>290</v>
      </c>
      <c r="P49" s="2" t="s">
        <v>292</v>
      </c>
      <c r="Q49" s="2">
        <v>20</v>
      </c>
      <c r="R49" s="2"/>
      <c r="S49" s="2" t="s">
        <v>113</v>
      </c>
    </row>
    <row r="50" spans="1:19" ht="29" hidden="1" x14ac:dyDescent="0.35">
      <c r="A50" s="2">
        <v>22</v>
      </c>
      <c r="B50" s="2" t="s">
        <v>21</v>
      </c>
      <c r="C50" s="6">
        <v>46283.595833333333</v>
      </c>
      <c r="D50" s="6">
        <v>46283.595925925933</v>
      </c>
      <c r="E50" s="2" t="s">
        <v>514</v>
      </c>
      <c r="F50" s="2" t="s">
        <v>222</v>
      </c>
      <c r="G50" s="2" t="s">
        <v>224</v>
      </c>
      <c r="H50" s="2" t="s">
        <v>531</v>
      </c>
      <c r="I50" s="2" t="s">
        <v>23</v>
      </c>
      <c r="J50" s="2" t="s">
        <v>24</v>
      </c>
      <c r="K50" s="2" t="s">
        <v>25</v>
      </c>
      <c r="L50" s="2" t="s">
        <v>287</v>
      </c>
      <c r="M50" s="2" t="s">
        <v>26</v>
      </c>
      <c r="N50" s="2" t="s">
        <v>119</v>
      </c>
      <c r="O50" s="2" t="s">
        <v>290</v>
      </c>
      <c r="P50" s="2" t="s">
        <v>292</v>
      </c>
      <c r="Q50" s="2">
        <v>8</v>
      </c>
      <c r="R50" s="2"/>
      <c r="S50" s="2" t="s">
        <v>113</v>
      </c>
    </row>
    <row r="51" spans="1:19" ht="29" hidden="1" x14ac:dyDescent="0.35">
      <c r="A51" s="2">
        <v>23</v>
      </c>
      <c r="B51" s="2" t="s">
        <v>21</v>
      </c>
      <c r="C51" s="6">
        <v>46283.598611111112</v>
      </c>
      <c r="D51" s="6">
        <v>46283.598819444444</v>
      </c>
      <c r="E51" s="2" t="s">
        <v>514</v>
      </c>
      <c r="F51" s="2" t="s">
        <v>230</v>
      </c>
      <c r="G51" s="2" t="s">
        <v>232</v>
      </c>
      <c r="H51" s="2" t="s">
        <v>533</v>
      </c>
      <c r="I51" s="2" t="s">
        <v>23</v>
      </c>
      <c r="J51" s="2" t="s">
        <v>24</v>
      </c>
      <c r="K51" s="2" t="s">
        <v>25</v>
      </c>
      <c r="L51" s="2" t="s">
        <v>287</v>
      </c>
      <c r="M51" s="2" t="s">
        <v>26</v>
      </c>
      <c r="N51" s="2" t="s">
        <v>119</v>
      </c>
      <c r="O51" s="2" t="s">
        <v>290</v>
      </c>
      <c r="P51" s="2" t="s">
        <v>292</v>
      </c>
      <c r="Q51" s="2">
        <v>18</v>
      </c>
      <c r="R51" s="2"/>
      <c r="S51" s="2" t="s">
        <v>113</v>
      </c>
    </row>
    <row r="52" spans="1:19" ht="29" hidden="1" x14ac:dyDescent="0.35">
      <c r="A52" s="2">
        <v>24</v>
      </c>
      <c r="B52" s="2" t="s">
        <v>21</v>
      </c>
      <c r="C52" s="6">
        <v>46283.598819444444</v>
      </c>
      <c r="D52" s="6">
        <v>46283.598900462966</v>
      </c>
      <c r="E52" s="2" t="s">
        <v>514</v>
      </c>
      <c r="F52" s="2" t="s">
        <v>238</v>
      </c>
      <c r="G52" s="2" t="s">
        <v>240</v>
      </c>
      <c r="H52" s="2" t="s">
        <v>536</v>
      </c>
      <c r="I52" s="2" t="s">
        <v>23</v>
      </c>
      <c r="J52" s="2" t="s">
        <v>24</v>
      </c>
      <c r="K52" s="2" t="s">
        <v>25</v>
      </c>
      <c r="L52" s="2" t="s">
        <v>287</v>
      </c>
      <c r="M52" s="2" t="s">
        <v>26</v>
      </c>
      <c r="N52" s="2" t="s">
        <v>119</v>
      </c>
      <c r="O52" s="2" t="s">
        <v>290</v>
      </c>
      <c r="P52" s="2" t="s">
        <v>292</v>
      </c>
      <c r="Q52" s="2">
        <v>7</v>
      </c>
      <c r="R52" s="2"/>
      <c r="S52" s="2" t="s">
        <v>113</v>
      </c>
    </row>
    <row r="53" spans="1:19" ht="29" hidden="1" x14ac:dyDescent="0.35">
      <c r="A53" s="2">
        <v>25</v>
      </c>
      <c r="B53" s="2" t="s">
        <v>21</v>
      </c>
      <c r="C53" s="6">
        <v>46283.598900462966</v>
      </c>
      <c r="D53" s="6">
        <v>46283.599224537043</v>
      </c>
      <c r="E53" s="2" t="s">
        <v>514</v>
      </c>
      <c r="F53" s="2" t="s">
        <v>238</v>
      </c>
      <c r="G53" s="2" t="s">
        <v>359</v>
      </c>
      <c r="H53" s="2" t="s">
        <v>548</v>
      </c>
      <c r="I53" s="2" t="s">
        <v>23</v>
      </c>
      <c r="J53" s="2" t="s">
        <v>24</v>
      </c>
      <c r="K53" s="2" t="s">
        <v>25</v>
      </c>
      <c r="L53" s="2" t="s">
        <v>287</v>
      </c>
      <c r="M53" s="2" t="s">
        <v>26</v>
      </c>
      <c r="N53" s="2" t="s">
        <v>119</v>
      </c>
      <c r="O53" s="2" t="s">
        <v>290</v>
      </c>
      <c r="P53" s="2" t="s">
        <v>292</v>
      </c>
      <c r="Q53" s="2">
        <v>28</v>
      </c>
      <c r="R53" s="2"/>
      <c r="S53" s="2" t="s">
        <v>113</v>
      </c>
    </row>
    <row r="54" spans="1:19" ht="29" hidden="1" x14ac:dyDescent="0.35">
      <c r="A54" s="2">
        <v>26</v>
      </c>
      <c r="B54" s="2" t="s">
        <v>21</v>
      </c>
      <c r="C54" s="6">
        <v>46283.599224537043</v>
      </c>
      <c r="D54" s="6">
        <v>46283.59951388889</v>
      </c>
      <c r="E54" s="2" t="s">
        <v>514</v>
      </c>
      <c r="F54" s="2" t="s">
        <v>265</v>
      </c>
      <c r="G54" s="2" t="s">
        <v>267</v>
      </c>
      <c r="H54" s="2" t="s">
        <v>539</v>
      </c>
      <c r="I54" s="2" t="s">
        <v>23</v>
      </c>
      <c r="J54" s="2" t="s">
        <v>24</v>
      </c>
      <c r="K54" s="2" t="s">
        <v>25</v>
      </c>
      <c r="L54" s="2" t="s">
        <v>287</v>
      </c>
      <c r="M54" s="2" t="s">
        <v>26</v>
      </c>
      <c r="N54" s="2" t="s">
        <v>119</v>
      </c>
      <c r="O54" s="2" t="s">
        <v>290</v>
      </c>
      <c r="P54" s="2" t="s">
        <v>292</v>
      </c>
      <c r="Q54" s="2">
        <v>25</v>
      </c>
      <c r="R54" s="2"/>
      <c r="S54" s="2" t="s">
        <v>113</v>
      </c>
    </row>
    <row r="55" spans="1:19" ht="29" hidden="1" x14ac:dyDescent="0.35">
      <c r="A55" s="2">
        <v>27</v>
      </c>
      <c r="B55" s="2" t="s">
        <v>21</v>
      </c>
      <c r="C55" s="6">
        <v>46283.59951388889</v>
      </c>
      <c r="D55" s="6">
        <v>46283.599652777782</v>
      </c>
      <c r="E55" s="2" t="s">
        <v>514</v>
      </c>
      <c r="F55" s="2" t="s">
        <v>272</v>
      </c>
      <c r="G55" s="2" t="s">
        <v>274</v>
      </c>
      <c r="H55" s="2" t="s">
        <v>540</v>
      </c>
      <c r="I55" s="2" t="s">
        <v>23</v>
      </c>
      <c r="J55" s="2" t="s">
        <v>24</v>
      </c>
      <c r="K55" s="2" t="s">
        <v>25</v>
      </c>
      <c r="L55" s="2" t="s">
        <v>287</v>
      </c>
      <c r="M55" s="2" t="s">
        <v>26</v>
      </c>
      <c r="N55" s="2" t="s">
        <v>119</v>
      </c>
      <c r="O55" s="2" t="s">
        <v>290</v>
      </c>
      <c r="P55" s="2" t="s">
        <v>292</v>
      </c>
      <c r="Q55" s="2">
        <v>12</v>
      </c>
      <c r="R55" s="2"/>
      <c r="S55" s="2" t="s">
        <v>113</v>
      </c>
    </row>
    <row r="56" spans="1:19" ht="29" hidden="1" x14ac:dyDescent="0.35">
      <c r="A56" s="2">
        <v>1</v>
      </c>
      <c r="B56" s="2" t="s">
        <v>28</v>
      </c>
      <c r="C56" s="6">
        <v>46281.378472222219</v>
      </c>
      <c r="D56" s="6">
        <v>46281.378564814811</v>
      </c>
      <c r="E56" s="2" t="s">
        <v>514</v>
      </c>
      <c r="F56" s="2" t="s">
        <v>97</v>
      </c>
      <c r="G56" s="2" t="s">
        <v>99</v>
      </c>
      <c r="H56" s="2" t="s">
        <v>515</v>
      </c>
      <c r="I56" s="2" t="s">
        <v>30</v>
      </c>
      <c r="J56" s="2" t="s">
        <v>31</v>
      </c>
      <c r="K56" s="2" t="s">
        <v>32</v>
      </c>
      <c r="L56" s="2" t="s">
        <v>375</v>
      </c>
      <c r="M56" s="2" t="s">
        <v>33</v>
      </c>
      <c r="N56" s="2" t="s">
        <v>119</v>
      </c>
      <c r="O56" s="2" t="s">
        <v>378</v>
      </c>
      <c r="P56" s="2" t="s">
        <v>380</v>
      </c>
      <c r="Q56" s="2">
        <v>8</v>
      </c>
      <c r="R56" s="2"/>
      <c r="S56" s="2" t="s">
        <v>113</v>
      </c>
    </row>
    <row r="57" spans="1:19" ht="29" hidden="1" x14ac:dyDescent="0.35">
      <c r="A57" s="2">
        <v>2</v>
      </c>
      <c r="B57" s="2" t="s">
        <v>28</v>
      </c>
      <c r="C57" s="6">
        <v>46281.378564814811</v>
      </c>
      <c r="D57" s="6">
        <v>46281.37872685185</v>
      </c>
      <c r="E57" s="2" t="s">
        <v>514</v>
      </c>
      <c r="F57" s="2" t="s">
        <v>97</v>
      </c>
      <c r="G57" s="2" t="s">
        <v>126</v>
      </c>
      <c r="H57" s="2" t="s">
        <v>516</v>
      </c>
      <c r="I57" s="2" t="s">
        <v>30</v>
      </c>
      <c r="J57" s="2" t="s">
        <v>31</v>
      </c>
      <c r="K57" s="2" t="s">
        <v>32</v>
      </c>
      <c r="L57" s="2" t="s">
        <v>375</v>
      </c>
      <c r="M57" s="2" t="s">
        <v>33</v>
      </c>
      <c r="N57" s="2" t="s">
        <v>119</v>
      </c>
      <c r="O57" s="2" t="s">
        <v>378</v>
      </c>
      <c r="P57" s="2" t="s">
        <v>380</v>
      </c>
      <c r="Q57" s="2">
        <v>14</v>
      </c>
      <c r="R57" s="2"/>
      <c r="S57" s="2" t="s">
        <v>113</v>
      </c>
    </row>
    <row r="58" spans="1:19" ht="29" hidden="1" x14ac:dyDescent="0.35">
      <c r="A58" s="2">
        <v>3</v>
      </c>
      <c r="B58" s="2" t="s">
        <v>28</v>
      </c>
      <c r="C58" s="6">
        <v>46281.37872685185</v>
      </c>
      <c r="D58" s="6">
        <v>46281.378784722219</v>
      </c>
      <c r="E58" s="2" t="s">
        <v>514</v>
      </c>
      <c r="F58" s="2" t="s">
        <v>135</v>
      </c>
      <c r="G58" s="2" t="s">
        <v>137</v>
      </c>
      <c r="H58" s="2" t="s">
        <v>517</v>
      </c>
      <c r="I58" s="2" t="s">
        <v>30</v>
      </c>
      <c r="J58" s="2" t="s">
        <v>31</v>
      </c>
      <c r="K58" s="2" t="s">
        <v>32</v>
      </c>
      <c r="L58" s="2" t="s">
        <v>375</v>
      </c>
      <c r="M58" s="2" t="s">
        <v>33</v>
      </c>
      <c r="N58" s="2" t="s">
        <v>119</v>
      </c>
      <c r="O58" s="2" t="s">
        <v>378</v>
      </c>
      <c r="P58" s="2" t="s">
        <v>380</v>
      </c>
      <c r="Q58" s="2">
        <v>5</v>
      </c>
      <c r="R58" s="2"/>
      <c r="S58" s="2" t="s">
        <v>113</v>
      </c>
    </row>
    <row r="59" spans="1:19" ht="29" hidden="1" x14ac:dyDescent="0.35">
      <c r="A59" s="2">
        <v>4</v>
      </c>
      <c r="B59" s="2" t="s">
        <v>28</v>
      </c>
      <c r="C59" s="6">
        <v>46281.378784722219</v>
      </c>
      <c r="D59" s="6">
        <v>46281.378923611112</v>
      </c>
      <c r="E59" s="2" t="s">
        <v>514</v>
      </c>
      <c r="F59" s="2" t="s">
        <v>135</v>
      </c>
      <c r="G59" s="2" t="s">
        <v>148</v>
      </c>
      <c r="H59" s="2" t="s">
        <v>518</v>
      </c>
      <c r="I59" s="2" t="s">
        <v>30</v>
      </c>
      <c r="J59" s="2" t="s">
        <v>31</v>
      </c>
      <c r="K59" s="2" t="s">
        <v>32</v>
      </c>
      <c r="L59" s="2" t="s">
        <v>375</v>
      </c>
      <c r="M59" s="2" t="s">
        <v>33</v>
      </c>
      <c r="N59" s="2" t="s">
        <v>119</v>
      </c>
      <c r="O59" s="2" t="s">
        <v>378</v>
      </c>
      <c r="P59" s="2" t="s">
        <v>380</v>
      </c>
      <c r="Q59" s="2">
        <v>12</v>
      </c>
      <c r="R59" s="2"/>
      <c r="S59" s="2" t="s">
        <v>113</v>
      </c>
    </row>
    <row r="60" spans="1:19" ht="29" hidden="1" x14ac:dyDescent="0.35">
      <c r="A60" s="2">
        <v>5</v>
      </c>
      <c r="B60" s="2" t="s">
        <v>28</v>
      </c>
      <c r="C60" s="6">
        <v>46281.378923611112</v>
      </c>
      <c r="D60" s="6">
        <v>46281.391770833332</v>
      </c>
      <c r="E60" s="2" t="s">
        <v>514</v>
      </c>
      <c r="F60" s="2" t="s">
        <v>135</v>
      </c>
      <c r="G60" s="2" t="s">
        <v>392</v>
      </c>
      <c r="H60" s="2" t="s">
        <v>549</v>
      </c>
      <c r="I60" s="2" t="s">
        <v>30</v>
      </c>
      <c r="J60" s="2" t="s">
        <v>31</v>
      </c>
      <c r="K60" s="2" t="s">
        <v>32</v>
      </c>
      <c r="L60" s="2" t="s">
        <v>375</v>
      </c>
      <c r="M60" s="2" t="s">
        <v>33</v>
      </c>
      <c r="N60" s="2" t="s">
        <v>119</v>
      </c>
      <c r="O60" s="2" t="s">
        <v>378</v>
      </c>
      <c r="P60" s="2" t="s">
        <v>380</v>
      </c>
      <c r="Q60" s="2">
        <v>1110</v>
      </c>
      <c r="R60" s="2" t="s">
        <v>395</v>
      </c>
      <c r="S60" s="2" t="s">
        <v>113</v>
      </c>
    </row>
    <row r="61" spans="1:19" ht="29" hidden="1" x14ac:dyDescent="0.35">
      <c r="A61" s="2">
        <v>6</v>
      </c>
      <c r="B61" s="2" t="s">
        <v>28</v>
      </c>
      <c r="C61" s="6">
        <v>46281.391770833332</v>
      </c>
      <c r="D61" s="6">
        <v>46281.392638888887</v>
      </c>
      <c r="E61" s="2" t="s">
        <v>514</v>
      </c>
      <c r="F61" s="2" t="s">
        <v>135</v>
      </c>
      <c r="G61" s="2" t="s">
        <v>399</v>
      </c>
      <c r="H61" s="2" t="s">
        <v>550</v>
      </c>
      <c r="I61" s="2" t="s">
        <v>30</v>
      </c>
      <c r="J61" s="2" t="s">
        <v>31</v>
      </c>
      <c r="K61" s="2" t="s">
        <v>32</v>
      </c>
      <c r="L61" s="2" t="s">
        <v>375</v>
      </c>
      <c r="M61" s="2" t="s">
        <v>33</v>
      </c>
      <c r="N61" s="2" t="s">
        <v>119</v>
      </c>
      <c r="O61" s="2" t="s">
        <v>378</v>
      </c>
      <c r="P61" s="2" t="s">
        <v>380</v>
      </c>
      <c r="Q61" s="2">
        <v>75</v>
      </c>
      <c r="R61" s="2" t="s">
        <v>404</v>
      </c>
      <c r="S61" s="2" t="s">
        <v>113</v>
      </c>
    </row>
    <row r="62" spans="1:19" ht="29" hidden="1" x14ac:dyDescent="0.35">
      <c r="A62" s="2">
        <v>7</v>
      </c>
      <c r="B62" s="2" t="s">
        <v>28</v>
      </c>
      <c r="C62" s="6">
        <v>46281.392638888887</v>
      </c>
      <c r="D62" s="6">
        <v>46281.392708333333</v>
      </c>
      <c r="E62" s="2" t="s">
        <v>514</v>
      </c>
      <c r="F62" s="2" t="s">
        <v>161</v>
      </c>
      <c r="G62" s="2" t="s">
        <v>163</v>
      </c>
      <c r="H62" s="2" t="s">
        <v>520</v>
      </c>
      <c r="I62" s="2" t="s">
        <v>30</v>
      </c>
      <c r="J62" s="2" t="s">
        <v>31</v>
      </c>
      <c r="K62" s="2" t="s">
        <v>32</v>
      </c>
      <c r="L62" s="2" t="s">
        <v>375</v>
      </c>
      <c r="M62" s="2" t="s">
        <v>33</v>
      </c>
      <c r="N62" s="2" t="s">
        <v>119</v>
      </c>
      <c r="O62" s="2" t="s">
        <v>378</v>
      </c>
      <c r="P62" s="2" t="s">
        <v>380</v>
      </c>
      <c r="Q62" s="2">
        <v>6</v>
      </c>
      <c r="R62" s="2"/>
      <c r="S62" s="2" t="s">
        <v>113</v>
      </c>
    </row>
    <row r="63" spans="1:19" ht="29" hidden="1" x14ac:dyDescent="0.35">
      <c r="A63" s="2">
        <v>8</v>
      </c>
      <c r="B63" s="2" t="s">
        <v>28</v>
      </c>
      <c r="C63" s="6">
        <v>46281.392708333333</v>
      </c>
      <c r="D63" s="6">
        <v>46281.392893518518</v>
      </c>
      <c r="E63" s="2" t="s">
        <v>514</v>
      </c>
      <c r="F63" s="2" t="s">
        <v>161</v>
      </c>
      <c r="G63" s="2" t="s">
        <v>171</v>
      </c>
      <c r="H63" s="2" t="s">
        <v>521</v>
      </c>
      <c r="I63" s="2" t="s">
        <v>30</v>
      </c>
      <c r="J63" s="2" t="s">
        <v>31</v>
      </c>
      <c r="K63" s="2" t="s">
        <v>32</v>
      </c>
      <c r="L63" s="2" t="s">
        <v>375</v>
      </c>
      <c r="M63" s="2" t="s">
        <v>33</v>
      </c>
      <c r="N63" s="2" t="s">
        <v>119</v>
      </c>
      <c r="O63" s="2" t="s">
        <v>378</v>
      </c>
      <c r="P63" s="2" t="s">
        <v>380</v>
      </c>
      <c r="Q63" s="2">
        <v>16</v>
      </c>
      <c r="R63" s="2"/>
      <c r="S63" s="2" t="s">
        <v>113</v>
      </c>
    </row>
    <row r="64" spans="1:19" ht="29" hidden="1" x14ac:dyDescent="0.35">
      <c r="A64" s="2">
        <v>9</v>
      </c>
      <c r="B64" s="2" t="s">
        <v>28</v>
      </c>
      <c r="C64" s="6">
        <v>46281.392893518518</v>
      </c>
      <c r="D64" s="6">
        <v>46281.393125000002</v>
      </c>
      <c r="E64" s="2" t="s">
        <v>514</v>
      </c>
      <c r="F64" s="2" t="s">
        <v>161</v>
      </c>
      <c r="G64" s="2" t="s">
        <v>178</v>
      </c>
      <c r="H64" s="2" t="s">
        <v>522</v>
      </c>
      <c r="I64" s="2" t="s">
        <v>30</v>
      </c>
      <c r="J64" s="2" t="s">
        <v>31</v>
      </c>
      <c r="K64" s="2" t="s">
        <v>32</v>
      </c>
      <c r="L64" s="2" t="s">
        <v>375</v>
      </c>
      <c r="M64" s="2" t="s">
        <v>33</v>
      </c>
      <c r="N64" s="2" t="s">
        <v>119</v>
      </c>
      <c r="O64" s="2" t="s">
        <v>378</v>
      </c>
      <c r="P64" s="2" t="s">
        <v>380</v>
      </c>
      <c r="Q64" s="2">
        <v>20</v>
      </c>
      <c r="R64" s="2"/>
      <c r="S64" s="2" t="s">
        <v>113</v>
      </c>
    </row>
    <row r="65" spans="1:19" ht="29" hidden="1" x14ac:dyDescent="0.35">
      <c r="A65" s="2">
        <v>10</v>
      </c>
      <c r="B65" s="2" t="s">
        <v>28</v>
      </c>
      <c r="C65" s="6">
        <v>46283.612500000003</v>
      </c>
      <c r="D65" s="6">
        <v>46283.612615740742</v>
      </c>
      <c r="E65" s="2" t="s">
        <v>514</v>
      </c>
      <c r="F65" s="2" t="s">
        <v>184</v>
      </c>
      <c r="G65" s="2" t="s">
        <v>186</v>
      </c>
      <c r="H65" s="2" t="s">
        <v>523</v>
      </c>
      <c r="I65" s="2" t="s">
        <v>30</v>
      </c>
      <c r="J65" s="2" t="s">
        <v>31</v>
      </c>
      <c r="K65" s="2" t="s">
        <v>32</v>
      </c>
      <c r="L65" s="2" t="s">
        <v>375</v>
      </c>
      <c r="M65" s="2" t="s">
        <v>33</v>
      </c>
      <c r="N65" s="2" t="s">
        <v>119</v>
      </c>
      <c r="O65" s="2" t="s">
        <v>378</v>
      </c>
      <c r="P65" s="2" t="s">
        <v>380</v>
      </c>
      <c r="Q65" s="2">
        <v>10</v>
      </c>
      <c r="R65" s="2"/>
      <c r="S65" s="2" t="s">
        <v>113</v>
      </c>
    </row>
    <row r="66" spans="1:19" ht="29" hidden="1" x14ac:dyDescent="0.35">
      <c r="A66" s="2">
        <v>11</v>
      </c>
      <c r="B66" s="2" t="s">
        <v>28</v>
      </c>
      <c r="C66" s="6">
        <v>46283.612615740742</v>
      </c>
      <c r="D66" s="6">
        <v>46283.612754629627</v>
      </c>
      <c r="E66" s="2" t="s">
        <v>514</v>
      </c>
      <c r="F66" s="2" t="s">
        <v>184</v>
      </c>
      <c r="G66" s="2" t="s">
        <v>193</v>
      </c>
      <c r="H66" s="2" t="s">
        <v>524</v>
      </c>
      <c r="I66" s="2" t="s">
        <v>30</v>
      </c>
      <c r="J66" s="2" t="s">
        <v>31</v>
      </c>
      <c r="K66" s="2" t="s">
        <v>32</v>
      </c>
      <c r="L66" s="2" t="s">
        <v>375</v>
      </c>
      <c r="M66" s="2" t="s">
        <v>33</v>
      </c>
      <c r="N66" s="2" t="s">
        <v>119</v>
      </c>
      <c r="O66" s="2" t="s">
        <v>378</v>
      </c>
      <c r="P66" s="2" t="s">
        <v>380</v>
      </c>
      <c r="Q66" s="2">
        <v>12</v>
      </c>
      <c r="R66" s="2"/>
      <c r="S66" s="2" t="s">
        <v>113</v>
      </c>
    </row>
    <row r="67" spans="1:19" ht="29" hidden="1" x14ac:dyDescent="0.35">
      <c r="A67" s="2">
        <v>12</v>
      </c>
      <c r="B67" s="2" t="s">
        <v>28</v>
      </c>
      <c r="C67" s="6">
        <v>46283.612754629627</v>
      </c>
      <c r="D67" s="6">
        <v>46283.612847222219</v>
      </c>
      <c r="E67" s="2" t="s">
        <v>514</v>
      </c>
      <c r="F67" s="2" t="s">
        <v>199</v>
      </c>
      <c r="G67" s="2" t="s">
        <v>201</v>
      </c>
      <c r="H67" s="2" t="s">
        <v>525</v>
      </c>
      <c r="I67" s="2" t="s">
        <v>30</v>
      </c>
      <c r="J67" s="2" t="s">
        <v>31</v>
      </c>
      <c r="K67" s="2" t="s">
        <v>32</v>
      </c>
      <c r="L67" s="2" t="s">
        <v>375</v>
      </c>
      <c r="M67" s="2" t="s">
        <v>33</v>
      </c>
      <c r="N67" s="2" t="s">
        <v>119</v>
      </c>
      <c r="O67" s="2" t="s">
        <v>378</v>
      </c>
      <c r="P67" s="2" t="s">
        <v>380</v>
      </c>
      <c r="Q67" s="2">
        <v>8</v>
      </c>
      <c r="R67" s="2"/>
      <c r="S67" s="2" t="s">
        <v>113</v>
      </c>
    </row>
    <row r="68" spans="1:19" ht="29" hidden="1" x14ac:dyDescent="0.35">
      <c r="A68" s="2">
        <v>13</v>
      </c>
      <c r="B68" s="2" t="s">
        <v>28</v>
      </c>
      <c r="C68" s="6">
        <v>46283.612847222219</v>
      </c>
      <c r="D68" s="6">
        <v>46283.613449074073</v>
      </c>
      <c r="E68" s="2" t="s">
        <v>514</v>
      </c>
      <c r="F68" s="2" t="s">
        <v>199</v>
      </c>
      <c r="G68" s="2" t="s">
        <v>208</v>
      </c>
      <c r="H68" s="2" t="s">
        <v>526</v>
      </c>
      <c r="I68" s="2" t="s">
        <v>30</v>
      </c>
      <c r="J68" s="2" t="s">
        <v>31</v>
      </c>
      <c r="K68" s="2" t="s">
        <v>32</v>
      </c>
      <c r="L68" s="2" t="s">
        <v>375</v>
      </c>
      <c r="M68" s="2" t="s">
        <v>33</v>
      </c>
      <c r="N68" s="2" t="s">
        <v>119</v>
      </c>
      <c r="O68" s="2" t="s">
        <v>378</v>
      </c>
      <c r="P68" s="2" t="s">
        <v>380</v>
      </c>
      <c r="Q68" s="2">
        <v>52</v>
      </c>
      <c r="R68" s="2"/>
      <c r="S68" s="2" t="s">
        <v>113</v>
      </c>
    </row>
    <row r="69" spans="1:19" ht="29" hidden="1" x14ac:dyDescent="0.35">
      <c r="A69" s="2">
        <v>14</v>
      </c>
      <c r="B69" s="2" t="s">
        <v>28</v>
      </c>
      <c r="C69" s="6">
        <v>46283.613449074073</v>
      </c>
      <c r="D69" s="6">
        <v>46283.613703703697</v>
      </c>
      <c r="E69" s="2" t="s">
        <v>514</v>
      </c>
      <c r="F69" s="2" t="s">
        <v>199</v>
      </c>
      <c r="G69" s="2" t="s">
        <v>216</v>
      </c>
      <c r="H69" s="2" t="s">
        <v>527</v>
      </c>
      <c r="I69" s="2" t="s">
        <v>30</v>
      </c>
      <c r="J69" s="2" t="s">
        <v>31</v>
      </c>
      <c r="K69" s="2" t="s">
        <v>32</v>
      </c>
      <c r="L69" s="2" t="s">
        <v>375</v>
      </c>
      <c r="M69" s="2" t="s">
        <v>33</v>
      </c>
      <c r="N69" s="2" t="s">
        <v>119</v>
      </c>
      <c r="O69" s="2" t="s">
        <v>378</v>
      </c>
      <c r="P69" s="2" t="s">
        <v>380</v>
      </c>
      <c r="Q69" s="2">
        <v>22</v>
      </c>
      <c r="R69" s="2"/>
      <c r="S69" s="2" t="s">
        <v>113</v>
      </c>
    </row>
    <row r="70" spans="1:19" ht="29" hidden="1" x14ac:dyDescent="0.35">
      <c r="A70" s="2">
        <v>15</v>
      </c>
      <c r="B70" s="2" t="s">
        <v>28</v>
      </c>
      <c r="C70" s="6">
        <v>46283.616666666669</v>
      </c>
      <c r="D70" s="6">
        <v>46283.618750000001</v>
      </c>
      <c r="E70" s="2" t="s">
        <v>528</v>
      </c>
      <c r="F70" s="2" t="s">
        <v>529</v>
      </c>
      <c r="G70" s="2" t="s">
        <v>498</v>
      </c>
      <c r="H70" s="2" t="s">
        <v>551</v>
      </c>
      <c r="I70" s="2" t="s">
        <v>30</v>
      </c>
      <c r="J70" s="2" t="s">
        <v>31</v>
      </c>
      <c r="K70" s="2" t="s">
        <v>32</v>
      </c>
      <c r="L70" s="2" t="s">
        <v>375</v>
      </c>
      <c r="M70" s="2" t="s">
        <v>33</v>
      </c>
      <c r="N70" s="2" t="s">
        <v>119</v>
      </c>
      <c r="O70" s="2" t="s">
        <v>378</v>
      </c>
      <c r="P70" s="2" t="s">
        <v>380</v>
      </c>
      <c r="Q70" s="2">
        <v>180</v>
      </c>
      <c r="R70" s="2"/>
      <c r="S70" s="2" t="s">
        <v>113</v>
      </c>
    </row>
    <row r="71" spans="1:19" ht="29" hidden="1" x14ac:dyDescent="0.35">
      <c r="A71" s="2">
        <v>16</v>
      </c>
      <c r="B71" s="2" t="s">
        <v>28</v>
      </c>
      <c r="C71" s="6">
        <v>46283.618750000001</v>
      </c>
      <c r="D71" s="6">
        <v>46283.645138888889</v>
      </c>
      <c r="E71" s="2" t="s">
        <v>528</v>
      </c>
      <c r="F71" s="2" t="s">
        <v>529</v>
      </c>
      <c r="G71" s="2" t="s">
        <v>500</v>
      </c>
      <c r="H71" s="2" t="s">
        <v>530</v>
      </c>
      <c r="I71" s="2" t="s">
        <v>30</v>
      </c>
      <c r="J71" s="2" t="s">
        <v>31</v>
      </c>
      <c r="K71" s="2" t="s">
        <v>32</v>
      </c>
      <c r="L71" s="2" t="s">
        <v>375</v>
      </c>
      <c r="M71" s="2" t="s">
        <v>33</v>
      </c>
      <c r="N71" s="2" t="s">
        <v>119</v>
      </c>
      <c r="O71" s="2" t="s">
        <v>378</v>
      </c>
      <c r="P71" s="2" t="s">
        <v>380</v>
      </c>
      <c r="Q71" s="2">
        <v>2280</v>
      </c>
      <c r="R71" s="2"/>
      <c r="S71" s="2" t="s">
        <v>113</v>
      </c>
    </row>
    <row r="72" spans="1:19" ht="29" hidden="1" x14ac:dyDescent="0.35">
      <c r="A72" s="2">
        <v>17</v>
      </c>
      <c r="B72" s="2" t="s">
        <v>28</v>
      </c>
      <c r="C72" s="6">
        <v>46283.645138888889</v>
      </c>
      <c r="D72" s="6">
        <v>46283.649305555547</v>
      </c>
      <c r="E72" s="2" t="s">
        <v>528</v>
      </c>
      <c r="F72" s="2" t="s">
        <v>529</v>
      </c>
      <c r="G72" s="2" t="s">
        <v>502</v>
      </c>
      <c r="H72" s="2" t="s">
        <v>532</v>
      </c>
      <c r="I72" s="2" t="s">
        <v>30</v>
      </c>
      <c r="J72" s="2" t="s">
        <v>31</v>
      </c>
      <c r="K72" s="2" t="s">
        <v>32</v>
      </c>
      <c r="L72" s="2" t="s">
        <v>375</v>
      </c>
      <c r="M72" s="2" t="s">
        <v>33</v>
      </c>
      <c r="N72" s="2" t="s">
        <v>119</v>
      </c>
      <c r="O72" s="2" t="s">
        <v>378</v>
      </c>
      <c r="P72" s="2" t="s">
        <v>380</v>
      </c>
      <c r="Q72" s="2">
        <v>360</v>
      </c>
      <c r="R72" s="2"/>
      <c r="S72" s="2" t="s">
        <v>113</v>
      </c>
    </row>
    <row r="73" spans="1:19" ht="29" hidden="1" x14ac:dyDescent="0.35">
      <c r="A73" s="2">
        <v>18</v>
      </c>
      <c r="B73" s="2" t="s">
        <v>28</v>
      </c>
      <c r="C73" s="6">
        <v>46283.646527777782</v>
      </c>
      <c r="D73" s="6">
        <v>46283.646620370368</v>
      </c>
      <c r="E73" s="2" t="s">
        <v>514</v>
      </c>
      <c r="F73" s="2" t="s">
        <v>222</v>
      </c>
      <c r="G73" s="2" t="s">
        <v>224</v>
      </c>
      <c r="H73" s="2" t="s">
        <v>531</v>
      </c>
      <c r="I73" s="2" t="s">
        <v>30</v>
      </c>
      <c r="J73" s="2" t="s">
        <v>31</v>
      </c>
      <c r="K73" s="2" t="s">
        <v>32</v>
      </c>
      <c r="L73" s="2" t="s">
        <v>375</v>
      </c>
      <c r="M73" s="2" t="s">
        <v>33</v>
      </c>
      <c r="N73" s="2" t="s">
        <v>119</v>
      </c>
      <c r="O73" s="2" t="s">
        <v>378</v>
      </c>
      <c r="P73" s="2" t="s">
        <v>380</v>
      </c>
      <c r="Q73" s="2">
        <v>8</v>
      </c>
      <c r="R73" s="2"/>
      <c r="S73" s="2" t="s">
        <v>113</v>
      </c>
    </row>
    <row r="74" spans="1:19" ht="29" hidden="1" x14ac:dyDescent="0.35">
      <c r="A74" s="2">
        <v>19</v>
      </c>
      <c r="B74" s="2" t="s">
        <v>28</v>
      </c>
      <c r="C74" s="6">
        <v>46283.649305555547</v>
      </c>
      <c r="D74" s="6">
        <v>46283.649513888893</v>
      </c>
      <c r="E74" s="2" t="s">
        <v>514</v>
      </c>
      <c r="F74" s="2" t="s">
        <v>230</v>
      </c>
      <c r="G74" s="2" t="s">
        <v>232</v>
      </c>
      <c r="H74" s="2" t="s">
        <v>533</v>
      </c>
      <c r="I74" s="2" t="s">
        <v>30</v>
      </c>
      <c r="J74" s="2" t="s">
        <v>31</v>
      </c>
      <c r="K74" s="2" t="s">
        <v>32</v>
      </c>
      <c r="L74" s="2" t="s">
        <v>375</v>
      </c>
      <c r="M74" s="2" t="s">
        <v>33</v>
      </c>
      <c r="N74" s="2" t="s">
        <v>119</v>
      </c>
      <c r="O74" s="2" t="s">
        <v>378</v>
      </c>
      <c r="P74" s="2" t="s">
        <v>380</v>
      </c>
      <c r="Q74" s="2">
        <v>18</v>
      </c>
      <c r="R74" s="2"/>
      <c r="S74" s="2" t="s">
        <v>113</v>
      </c>
    </row>
    <row r="75" spans="1:19" ht="29" hidden="1" x14ac:dyDescent="0.35">
      <c r="A75" s="2">
        <v>20</v>
      </c>
      <c r="B75" s="2" t="s">
        <v>28</v>
      </c>
      <c r="C75" s="6">
        <v>46283.649513888893</v>
      </c>
      <c r="D75" s="6">
        <v>46283.649594907409</v>
      </c>
      <c r="E75" s="2" t="s">
        <v>514</v>
      </c>
      <c r="F75" s="2" t="s">
        <v>238</v>
      </c>
      <c r="G75" s="2" t="s">
        <v>240</v>
      </c>
      <c r="H75" s="2" t="s">
        <v>536</v>
      </c>
      <c r="I75" s="2" t="s">
        <v>30</v>
      </c>
      <c r="J75" s="2" t="s">
        <v>31</v>
      </c>
      <c r="K75" s="2" t="s">
        <v>32</v>
      </c>
      <c r="L75" s="2" t="s">
        <v>375</v>
      </c>
      <c r="M75" s="2" t="s">
        <v>33</v>
      </c>
      <c r="N75" s="2" t="s">
        <v>119</v>
      </c>
      <c r="O75" s="2" t="s">
        <v>378</v>
      </c>
      <c r="P75" s="2" t="s">
        <v>380</v>
      </c>
      <c r="Q75" s="2">
        <v>7</v>
      </c>
      <c r="R75" s="2"/>
      <c r="S75" s="2" t="s">
        <v>113</v>
      </c>
    </row>
    <row r="76" spans="1:19" ht="29" hidden="1" x14ac:dyDescent="0.35">
      <c r="A76" s="2">
        <v>21</v>
      </c>
      <c r="B76" s="2" t="s">
        <v>28</v>
      </c>
      <c r="C76" s="6">
        <v>46283.649594907409</v>
      </c>
      <c r="D76" s="6">
        <v>46283.649918981479</v>
      </c>
      <c r="E76" s="2" t="s">
        <v>514</v>
      </c>
      <c r="F76" s="2" t="s">
        <v>238</v>
      </c>
      <c r="G76" s="2" t="s">
        <v>359</v>
      </c>
      <c r="H76" s="2" t="s">
        <v>548</v>
      </c>
      <c r="I76" s="2" t="s">
        <v>30</v>
      </c>
      <c r="J76" s="2" t="s">
        <v>31</v>
      </c>
      <c r="K76" s="2" t="s">
        <v>32</v>
      </c>
      <c r="L76" s="2" t="s">
        <v>375</v>
      </c>
      <c r="M76" s="2" t="s">
        <v>33</v>
      </c>
      <c r="N76" s="2" t="s">
        <v>119</v>
      </c>
      <c r="O76" s="2" t="s">
        <v>378</v>
      </c>
      <c r="P76" s="2" t="s">
        <v>380</v>
      </c>
      <c r="Q76" s="2">
        <v>28</v>
      </c>
      <c r="R76" s="2"/>
      <c r="S76" s="2" t="s">
        <v>113</v>
      </c>
    </row>
    <row r="77" spans="1:19" ht="29" hidden="1" x14ac:dyDescent="0.35">
      <c r="A77" s="2">
        <v>22</v>
      </c>
      <c r="B77" s="2" t="s">
        <v>28</v>
      </c>
      <c r="C77" s="6">
        <v>46283.649918981479</v>
      </c>
      <c r="D77" s="6">
        <v>46283.650208333333</v>
      </c>
      <c r="E77" s="2" t="s">
        <v>514</v>
      </c>
      <c r="F77" s="2" t="s">
        <v>265</v>
      </c>
      <c r="G77" s="2" t="s">
        <v>267</v>
      </c>
      <c r="H77" s="2" t="s">
        <v>539</v>
      </c>
      <c r="I77" s="2" t="s">
        <v>30</v>
      </c>
      <c r="J77" s="2" t="s">
        <v>31</v>
      </c>
      <c r="K77" s="2" t="s">
        <v>32</v>
      </c>
      <c r="L77" s="2" t="s">
        <v>375</v>
      </c>
      <c r="M77" s="2" t="s">
        <v>33</v>
      </c>
      <c r="N77" s="2" t="s">
        <v>119</v>
      </c>
      <c r="O77" s="2" t="s">
        <v>378</v>
      </c>
      <c r="P77" s="2" t="s">
        <v>380</v>
      </c>
      <c r="Q77" s="2">
        <v>25</v>
      </c>
      <c r="R77" s="2"/>
      <c r="S77" s="2" t="s">
        <v>113</v>
      </c>
    </row>
    <row r="78" spans="1:19" ht="29" hidden="1" x14ac:dyDescent="0.35">
      <c r="A78" s="2">
        <v>23</v>
      </c>
      <c r="B78" s="2" t="s">
        <v>28</v>
      </c>
      <c r="C78" s="6">
        <v>46283.650208333333</v>
      </c>
      <c r="D78" s="6">
        <v>46283.650347222218</v>
      </c>
      <c r="E78" s="2" t="s">
        <v>514</v>
      </c>
      <c r="F78" s="2" t="s">
        <v>272</v>
      </c>
      <c r="G78" s="2" t="s">
        <v>274</v>
      </c>
      <c r="H78" s="2" t="s">
        <v>540</v>
      </c>
      <c r="I78" s="2" t="s">
        <v>30</v>
      </c>
      <c r="J78" s="2" t="s">
        <v>31</v>
      </c>
      <c r="K78" s="2" t="s">
        <v>32</v>
      </c>
      <c r="L78" s="2" t="s">
        <v>375</v>
      </c>
      <c r="M78" s="2" t="s">
        <v>33</v>
      </c>
      <c r="N78" s="2" t="s">
        <v>119</v>
      </c>
      <c r="O78" s="2" t="s">
        <v>378</v>
      </c>
      <c r="P78" s="2" t="s">
        <v>380</v>
      </c>
      <c r="Q78" s="2">
        <v>12</v>
      </c>
      <c r="R78" s="2"/>
      <c r="S78" s="2" t="s">
        <v>113</v>
      </c>
    </row>
  </sheetData>
  <mergeCells count="2">
    <mergeCell ref="A2:S2"/>
    <mergeCell ref="A1:S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3"/>
  <sheetViews>
    <sheetView workbookViewId="0">
      <pane xSplit="5" ySplit="4" topLeftCell="F5" activePane="bottomRight" state="frozen"/>
      <selection pane="topRight"/>
      <selection pane="bottomLeft"/>
      <selection pane="bottomRight" sqref="A1:D1"/>
    </sheetView>
  </sheetViews>
  <sheetFormatPr defaultRowHeight="14.5" x14ac:dyDescent="0.35"/>
  <cols>
    <col min="1" max="1" width="30" customWidth="1"/>
    <col min="2" max="2" width="58" customWidth="1"/>
    <col min="3" max="3" width="34" customWidth="1"/>
    <col min="4" max="4" width="58" customWidth="1"/>
  </cols>
  <sheetData>
    <row r="1" spans="1:4" ht="26.15" customHeight="1" x14ac:dyDescent="0.35">
      <c r="A1" s="14" t="s">
        <v>552</v>
      </c>
      <c r="B1" s="11"/>
      <c r="C1" s="11"/>
      <c r="D1" s="11"/>
    </row>
    <row r="2" spans="1:4" ht="36" customHeight="1" x14ac:dyDescent="0.35">
      <c r="A2" s="10" t="s">
        <v>553</v>
      </c>
      <c r="B2" s="11"/>
      <c r="C2" s="11"/>
      <c r="D2" s="11"/>
    </row>
    <row r="4" spans="1:4" ht="36" customHeight="1" x14ac:dyDescent="0.35">
      <c r="A4" s="4" t="s">
        <v>554</v>
      </c>
      <c r="B4" s="4" t="s">
        <v>555</v>
      </c>
      <c r="C4" s="4" t="s">
        <v>556</v>
      </c>
      <c r="D4" s="4" t="s">
        <v>557</v>
      </c>
    </row>
    <row r="5" spans="1:4" ht="29" x14ac:dyDescent="0.35">
      <c r="A5" s="2" t="s">
        <v>37</v>
      </c>
      <c r="B5" s="2" t="s">
        <v>558</v>
      </c>
      <c r="C5" s="2" t="s">
        <v>559</v>
      </c>
      <c r="D5" s="2" t="s">
        <v>560</v>
      </c>
    </row>
    <row r="6" spans="1:4" ht="29" x14ac:dyDescent="0.35">
      <c r="A6" s="2" t="s">
        <v>38</v>
      </c>
      <c r="B6" s="2" t="s">
        <v>561</v>
      </c>
      <c r="C6" s="2" t="s">
        <v>559</v>
      </c>
      <c r="D6" s="2" t="s">
        <v>560</v>
      </c>
    </row>
    <row r="7" spans="1:4" ht="29" x14ac:dyDescent="0.35">
      <c r="A7" s="2" t="s">
        <v>39</v>
      </c>
      <c r="B7" s="2" t="s">
        <v>562</v>
      </c>
      <c r="C7" s="2" t="s">
        <v>559</v>
      </c>
      <c r="D7" s="2" t="s">
        <v>560</v>
      </c>
    </row>
    <row r="8" spans="1:4" ht="29" x14ac:dyDescent="0.35">
      <c r="A8" s="2" t="s">
        <v>40</v>
      </c>
      <c r="B8" s="2" t="s">
        <v>563</v>
      </c>
      <c r="C8" s="2" t="s">
        <v>559</v>
      </c>
      <c r="D8" s="2" t="s">
        <v>560</v>
      </c>
    </row>
    <row r="9" spans="1:4" ht="29" x14ac:dyDescent="0.35">
      <c r="A9" s="2" t="s">
        <v>41</v>
      </c>
      <c r="B9" s="2" t="s">
        <v>564</v>
      </c>
      <c r="C9" s="2" t="s">
        <v>559</v>
      </c>
      <c r="D9" s="2" t="s">
        <v>560</v>
      </c>
    </row>
    <row r="10" spans="1:4" ht="29" x14ac:dyDescent="0.35">
      <c r="A10" s="2" t="s">
        <v>42</v>
      </c>
      <c r="B10" s="2" t="s">
        <v>565</v>
      </c>
      <c r="C10" s="2" t="s">
        <v>559</v>
      </c>
      <c r="D10" s="2" t="s">
        <v>560</v>
      </c>
    </row>
    <row r="11" spans="1:4" ht="29" x14ac:dyDescent="0.35">
      <c r="A11" s="2" t="s">
        <v>43</v>
      </c>
      <c r="B11" s="2" t="s">
        <v>566</v>
      </c>
      <c r="C11" s="2" t="s">
        <v>559</v>
      </c>
      <c r="D11" s="2" t="s">
        <v>560</v>
      </c>
    </row>
    <row r="12" spans="1:4" ht="29" x14ac:dyDescent="0.35">
      <c r="A12" s="2" t="s">
        <v>44</v>
      </c>
      <c r="B12" s="2" t="s">
        <v>567</v>
      </c>
      <c r="C12" s="2" t="s">
        <v>559</v>
      </c>
      <c r="D12" s="2" t="s">
        <v>560</v>
      </c>
    </row>
    <row r="13" spans="1:4" ht="29" x14ac:dyDescent="0.35">
      <c r="A13" s="2" t="s">
        <v>45</v>
      </c>
      <c r="B13" s="2" t="s">
        <v>568</v>
      </c>
      <c r="C13" s="2" t="s">
        <v>559</v>
      </c>
      <c r="D13" s="2" t="s">
        <v>560</v>
      </c>
    </row>
    <row r="14" spans="1:4" ht="29" x14ac:dyDescent="0.35">
      <c r="A14" s="2" t="s">
        <v>46</v>
      </c>
      <c r="B14" s="2" t="s">
        <v>569</v>
      </c>
      <c r="C14" s="2" t="s">
        <v>559</v>
      </c>
      <c r="D14" s="2" t="s">
        <v>560</v>
      </c>
    </row>
    <row r="15" spans="1:4" ht="29" x14ac:dyDescent="0.35">
      <c r="A15" s="2" t="s">
        <v>47</v>
      </c>
      <c r="B15" s="2" t="s">
        <v>570</v>
      </c>
      <c r="C15" s="2" t="s">
        <v>559</v>
      </c>
      <c r="D15" s="2" t="s">
        <v>560</v>
      </c>
    </row>
    <row r="16" spans="1:4" ht="29" x14ac:dyDescent="0.35">
      <c r="A16" s="2" t="s">
        <v>48</v>
      </c>
      <c r="B16" s="2" t="s">
        <v>571</v>
      </c>
      <c r="C16" s="2" t="s">
        <v>559</v>
      </c>
      <c r="D16" s="2" t="s">
        <v>560</v>
      </c>
    </row>
    <row r="17" spans="1:4" ht="29" x14ac:dyDescent="0.35">
      <c r="A17" s="2" t="s">
        <v>49</v>
      </c>
      <c r="B17" s="2" t="s">
        <v>572</v>
      </c>
      <c r="C17" s="2" t="s">
        <v>559</v>
      </c>
      <c r="D17" s="2" t="s">
        <v>560</v>
      </c>
    </row>
    <row r="18" spans="1:4" ht="29" x14ac:dyDescent="0.35">
      <c r="A18" s="2" t="s">
        <v>50</v>
      </c>
      <c r="B18" s="2" t="s">
        <v>573</v>
      </c>
      <c r="C18" s="2" t="s">
        <v>559</v>
      </c>
      <c r="D18" s="2" t="s">
        <v>560</v>
      </c>
    </row>
    <row r="19" spans="1:4" ht="29" x14ac:dyDescent="0.35">
      <c r="A19" s="2" t="s">
        <v>51</v>
      </c>
      <c r="B19" s="2" t="s">
        <v>574</v>
      </c>
      <c r="C19" s="2" t="s">
        <v>559</v>
      </c>
      <c r="D19" s="2" t="s">
        <v>560</v>
      </c>
    </row>
    <row r="20" spans="1:4" ht="29" x14ac:dyDescent="0.35">
      <c r="A20" s="2" t="s">
        <v>52</v>
      </c>
      <c r="B20" s="2" t="s">
        <v>575</v>
      </c>
      <c r="C20" s="2" t="s">
        <v>559</v>
      </c>
      <c r="D20" s="2" t="s">
        <v>560</v>
      </c>
    </row>
    <row r="21" spans="1:4" ht="29" x14ac:dyDescent="0.35">
      <c r="A21" s="2" t="s">
        <v>53</v>
      </c>
      <c r="B21" s="2" t="s">
        <v>576</v>
      </c>
      <c r="C21" s="2" t="s">
        <v>559</v>
      </c>
      <c r="D21" s="2" t="s">
        <v>560</v>
      </c>
    </row>
    <row r="22" spans="1:4" ht="29" x14ac:dyDescent="0.35">
      <c r="A22" s="2" t="s">
        <v>54</v>
      </c>
      <c r="B22" s="2" t="s">
        <v>577</v>
      </c>
      <c r="C22" s="2" t="s">
        <v>559</v>
      </c>
      <c r="D22" s="2" t="s">
        <v>560</v>
      </c>
    </row>
    <row r="23" spans="1:4" ht="29" x14ac:dyDescent="0.35">
      <c r="A23" s="2" t="s">
        <v>55</v>
      </c>
      <c r="B23" s="2" t="s">
        <v>578</v>
      </c>
      <c r="C23" s="2" t="s">
        <v>559</v>
      </c>
      <c r="D23" s="2" t="s">
        <v>560</v>
      </c>
    </row>
    <row r="24" spans="1:4" ht="29" x14ac:dyDescent="0.35">
      <c r="A24" s="2" t="s">
        <v>56</v>
      </c>
      <c r="B24" s="2" t="s">
        <v>579</v>
      </c>
      <c r="C24" s="2" t="s">
        <v>559</v>
      </c>
      <c r="D24" s="2" t="s">
        <v>560</v>
      </c>
    </row>
    <row r="25" spans="1:4" ht="29" x14ac:dyDescent="0.35">
      <c r="A25" s="2" t="s">
        <v>57</v>
      </c>
      <c r="B25" s="2" t="s">
        <v>580</v>
      </c>
      <c r="C25" s="2" t="s">
        <v>559</v>
      </c>
      <c r="D25" s="2" t="s">
        <v>560</v>
      </c>
    </row>
    <row r="26" spans="1:4" ht="29" x14ac:dyDescent="0.35">
      <c r="A26" s="2" t="s">
        <v>58</v>
      </c>
      <c r="B26" s="2" t="s">
        <v>581</v>
      </c>
      <c r="C26" s="2" t="s">
        <v>559</v>
      </c>
      <c r="D26" s="2" t="s">
        <v>560</v>
      </c>
    </row>
    <row r="27" spans="1:4" ht="29" x14ac:dyDescent="0.35">
      <c r="A27" s="2" t="s">
        <v>59</v>
      </c>
      <c r="B27" s="2" t="s">
        <v>582</v>
      </c>
      <c r="C27" s="2" t="s">
        <v>559</v>
      </c>
      <c r="D27" s="2" t="s">
        <v>560</v>
      </c>
    </row>
    <row r="28" spans="1:4" ht="29" x14ac:dyDescent="0.35">
      <c r="A28" s="2" t="s">
        <v>60</v>
      </c>
      <c r="B28" s="2" t="s">
        <v>583</v>
      </c>
      <c r="C28" s="2" t="s">
        <v>559</v>
      </c>
      <c r="D28" s="2" t="s">
        <v>560</v>
      </c>
    </row>
    <row r="29" spans="1:4" ht="29" x14ac:dyDescent="0.35">
      <c r="A29" s="2" t="s">
        <v>61</v>
      </c>
      <c r="B29" s="2" t="s">
        <v>584</v>
      </c>
      <c r="C29" s="2" t="s">
        <v>559</v>
      </c>
      <c r="D29" s="2" t="s">
        <v>560</v>
      </c>
    </row>
    <row r="30" spans="1:4" ht="29" x14ac:dyDescent="0.35">
      <c r="A30" s="2" t="s">
        <v>62</v>
      </c>
      <c r="B30" s="2" t="s">
        <v>585</v>
      </c>
      <c r="C30" s="2" t="s">
        <v>559</v>
      </c>
      <c r="D30" s="2" t="s">
        <v>560</v>
      </c>
    </row>
    <row r="31" spans="1:4" ht="29" x14ac:dyDescent="0.35">
      <c r="A31" s="2" t="s">
        <v>63</v>
      </c>
      <c r="B31" s="2" t="s">
        <v>586</v>
      </c>
      <c r="C31" s="2" t="s">
        <v>559</v>
      </c>
      <c r="D31" s="2" t="s">
        <v>560</v>
      </c>
    </row>
    <row r="32" spans="1:4" ht="29" x14ac:dyDescent="0.35">
      <c r="A32" s="2" t="s">
        <v>64</v>
      </c>
      <c r="B32" s="2" t="s">
        <v>587</v>
      </c>
      <c r="C32" s="2" t="s">
        <v>559</v>
      </c>
      <c r="D32" s="2" t="s">
        <v>560</v>
      </c>
    </row>
    <row r="33" spans="1:4" ht="29" x14ac:dyDescent="0.35">
      <c r="A33" s="2" t="s">
        <v>65</v>
      </c>
      <c r="B33" s="2" t="s">
        <v>588</v>
      </c>
      <c r="C33" s="2" t="s">
        <v>559</v>
      </c>
      <c r="D33" s="2" t="s">
        <v>560</v>
      </c>
    </row>
    <row r="34" spans="1:4" ht="29" x14ac:dyDescent="0.35">
      <c r="A34" s="2" t="s">
        <v>66</v>
      </c>
      <c r="B34" s="2" t="s">
        <v>589</v>
      </c>
      <c r="C34" s="2" t="s">
        <v>559</v>
      </c>
      <c r="D34" s="2" t="s">
        <v>560</v>
      </c>
    </row>
    <row r="35" spans="1:4" ht="29" x14ac:dyDescent="0.35">
      <c r="A35" s="2" t="s">
        <v>67</v>
      </c>
      <c r="B35" s="2" t="s">
        <v>590</v>
      </c>
      <c r="C35" s="2" t="s">
        <v>559</v>
      </c>
      <c r="D35" s="2" t="s">
        <v>560</v>
      </c>
    </row>
    <row r="36" spans="1:4" ht="29" x14ac:dyDescent="0.35">
      <c r="A36" s="2" t="s">
        <v>68</v>
      </c>
      <c r="B36" s="2" t="s">
        <v>591</v>
      </c>
      <c r="C36" s="2" t="s">
        <v>559</v>
      </c>
      <c r="D36" s="2" t="s">
        <v>560</v>
      </c>
    </row>
    <row r="37" spans="1:4" ht="29" x14ac:dyDescent="0.35">
      <c r="A37" s="2" t="s">
        <v>69</v>
      </c>
      <c r="B37" s="2" t="s">
        <v>592</v>
      </c>
      <c r="C37" s="2" t="s">
        <v>559</v>
      </c>
      <c r="D37" s="2" t="s">
        <v>560</v>
      </c>
    </row>
    <row r="38" spans="1:4" ht="29" x14ac:dyDescent="0.35">
      <c r="A38" s="2" t="s">
        <v>70</v>
      </c>
      <c r="B38" s="2" t="s">
        <v>593</v>
      </c>
      <c r="C38" s="2" t="s">
        <v>559</v>
      </c>
      <c r="D38" s="2" t="s">
        <v>560</v>
      </c>
    </row>
    <row r="39" spans="1:4" ht="29" x14ac:dyDescent="0.35">
      <c r="A39" s="2" t="s">
        <v>71</v>
      </c>
      <c r="B39" s="2" t="s">
        <v>594</v>
      </c>
      <c r="C39" s="2" t="s">
        <v>559</v>
      </c>
      <c r="D39" s="2" t="s">
        <v>560</v>
      </c>
    </row>
    <row r="40" spans="1:4" ht="29" x14ac:dyDescent="0.35">
      <c r="A40" s="2" t="s">
        <v>72</v>
      </c>
      <c r="B40" s="2" t="s">
        <v>595</v>
      </c>
      <c r="C40" s="2" t="s">
        <v>559</v>
      </c>
      <c r="D40" s="2" t="s">
        <v>560</v>
      </c>
    </row>
    <row r="41" spans="1:4" ht="29" x14ac:dyDescent="0.35">
      <c r="A41" s="2" t="s">
        <v>73</v>
      </c>
      <c r="B41" s="2" t="s">
        <v>596</v>
      </c>
      <c r="C41" s="2" t="s">
        <v>559</v>
      </c>
      <c r="D41" s="2" t="s">
        <v>560</v>
      </c>
    </row>
    <row r="42" spans="1:4" ht="29" x14ac:dyDescent="0.35">
      <c r="A42" s="2" t="s">
        <v>74</v>
      </c>
      <c r="B42" s="2" t="s">
        <v>597</v>
      </c>
      <c r="C42" s="2" t="s">
        <v>559</v>
      </c>
      <c r="D42" s="2" t="s">
        <v>560</v>
      </c>
    </row>
    <row r="43" spans="1:4" ht="29" x14ac:dyDescent="0.35">
      <c r="A43" s="2" t="s">
        <v>75</v>
      </c>
      <c r="B43" s="2" t="s">
        <v>598</v>
      </c>
      <c r="C43" s="2" t="s">
        <v>559</v>
      </c>
      <c r="D43" s="2" t="s">
        <v>560</v>
      </c>
    </row>
    <row r="44" spans="1:4" ht="29" x14ac:dyDescent="0.35">
      <c r="A44" s="2" t="s">
        <v>76</v>
      </c>
      <c r="B44" s="2" t="s">
        <v>599</v>
      </c>
      <c r="C44" s="2" t="s">
        <v>559</v>
      </c>
      <c r="D44" s="2" t="s">
        <v>560</v>
      </c>
    </row>
    <row r="45" spans="1:4" ht="29" x14ac:dyDescent="0.35">
      <c r="A45" s="2" t="s">
        <v>77</v>
      </c>
      <c r="B45" s="2" t="s">
        <v>600</v>
      </c>
      <c r="C45" s="2" t="s">
        <v>559</v>
      </c>
      <c r="D45" s="2" t="s">
        <v>560</v>
      </c>
    </row>
    <row r="46" spans="1:4" ht="29" x14ac:dyDescent="0.35">
      <c r="A46" s="2" t="s">
        <v>78</v>
      </c>
      <c r="B46" s="2" t="s">
        <v>601</v>
      </c>
      <c r="C46" s="2" t="s">
        <v>559</v>
      </c>
      <c r="D46" s="2" t="s">
        <v>560</v>
      </c>
    </row>
    <row r="47" spans="1:4" ht="29" x14ac:dyDescent="0.35">
      <c r="A47" s="2" t="s">
        <v>79</v>
      </c>
      <c r="B47" s="2" t="s">
        <v>602</v>
      </c>
      <c r="C47" s="2" t="s">
        <v>559</v>
      </c>
      <c r="D47" s="2" t="s">
        <v>560</v>
      </c>
    </row>
    <row r="48" spans="1:4" ht="29" x14ac:dyDescent="0.35">
      <c r="A48" s="2" t="s">
        <v>4</v>
      </c>
      <c r="B48" s="2" t="s">
        <v>603</v>
      </c>
      <c r="C48" s="2" t="s">
        <v>559</v>
      </c>
      <c r="D48" s="2" t="s">
        <v>560</v>
      </c>
    </row>
    <row r="49" spans="1:4" ht="29" x14ac:dyDescent="0.35">
      <c r="A49" s="2" t="s">
        <v>5</v>
      </c>
      <c r="B49" s="2" t="s">
        <v>604</v>
      </c>
      <c r="C49" s="2" t="s">
        <v>559</v>
      </c>
      <c r="D49" s="2" t="s">
        <v>560</v>
      </c>
    </row>
    <row r="50" spans="1:4" ht="29" x14ac:dyDescent="0.35">
      <c r="A50" s="2" t="s">
        <v>6</v>
      </c>
      <c r="B50" s="2" t="s">
        <v>605</v>
      </c>
      <c r="C50" s="2" t="s">
        <v>559</v>
      </c>
      <c r="D50" s="2" t="s">
        <v>560</v>
      </c>
    </row>
    <row r="51" spans="1:4" ht="29" x14ac:dyDescent="0.35">
      <c r="A51" s="2" t="s">
        <v>80</v>
      </c>
      <c r="B51" s="2" t="s">
        <v>606</v>
      </c>
      <c r="C51" s="2" t="s">
        <v>559</v>
      </c>
      <c r="D51" s="2" t="s">
        <v>560</v>
      </c>
    </row>
    <row r="52" spans="1:4" ht="29" x14ac:dyDescent="0.35">
      <c r="A52" s="2" t="s">
        <v>7</v>
      </c>
      <c r="B52" s="2" t="s">
        <v>607</v>
      </c>
      <c r="C52" s="2" t="s">
        <v>559</v>
      </c>
      <c r="D52" s="2" t="s">
        <v>560</v>
      </c>
    </row>
    <row r="53" spans="1:4" ht="29" x14ac:dyDescent="0.35">
      <c r="A53" s="2" t="s">
        <v>81</v>
      </c>
      <c r="B53" s="2" t="s">
        <v>608</v>
      </c>
      <c r="C53" s="2" t="s">
        <v>559</v>
      </c>
      <c r="D53" s="2" t="s">
        <v>560</v>
      </c>
    </row>
    <row r="54" spans="1:4" ht="29" x14ac:dyDescent="0.35">
      <c r="A54" s="2" t="s">
        <v>82</v>
      </c>
      <c r="B54" s="2" t="s">
        <v>609</v>
      </c>
      <c r="C54" s="2" t="s">
        <v>559</v>
      </c>
      <c r="D54" s="2" t="s">
        <v>560</v>
      </c>
    </row>
    <row r="55" spans="1:4" ht="29" x14ac:dyDescent="0.35">
      <c r="A55" s="2" t="s">
        <v>83</v>
      </c>
      <c r="B55" s="2" t="s">
        <v>610</v>
      </c>
      <c r="C55" s="2" t="s">
        <v>559</v>
      </c>
      <c r="D55" s="2" t="s">
        <v>560</v>
      </c>
    </row>
    <row r="56" spans="1:4" ht="29" x14ac:dyDescent="0.35">
      <c r="A56" s="2" t="s">
        <v>84</v>
      </c>
      <c r="B56" s="2" t="s">
        <v>611</v>
      </c>
      <c r="C56" s="2" t="s">
        <v>559</v>
      </c>
      <c r="D56" s="2" t="s">
        <v>560</v>
      </c>
    </row>
    <row r="57" spans="1:4" ht="29" x14ac:dyDescent="0.35">
      <c r="A57" s="2" t="s">
        <v>85</v>
      </c>
      <c r="B57" s="2" t="s">
        <v>612</v>
      </c>
      <c r="C57" s="2" t="s">
        <v>559</v>
      </c>
      <c r="D57" s="2" t="s">
        <v>560</v>
      </c>
    </row>
    <row r="58" spans="1:4" ht="29" x14ac:dyDescent="0.35">
      <c r="A58" s="2" t="s">
        <v>86</v>
      </c>
      <c r="B58" s="2" t="s">
        <v>613</v>
      </c>
      <c r="C58" s="2" t="s">
        <v>559</v>
      </c>
      <c r="D58" s="2" t="s">
        <v>560</v>
      </c>
    </row>
    <row r="59" spans="1:4" ht="29" x14ac:dyDescent="0.35">
      <c r="A59" s="2" t="s">
        <v>87</v>
      </c>
      <c r="B59" s="2" t="s">
        <v>614</v>
      </c>
      <c r="C59" s="2" t="s">
        <v>559</v>
      </c>
      <c r="D59" s="2" t="s">
        <v>560</v>
      </c>
    </row>
    <row r="60" spans="1:4" ht="29" x14ac:dyDescent="0.35">
      <c r="A60" s="2" t="s">
        <v>88</v>
      </c>
      <c r="B60" s="2" t="s">
        <v>615</v>
      </c>
      <c r="C60" s="2" t="s">
        <v>559</v>
      </c>
      <c r="D60" s="2" t="s">
        <v>560</v>
      </c>
    </row>
    <row r="61" spans="1:4" ht="29" x14ac:dyDescent="0.35">
      <c r="A61" s="2" t="s">
        <v>89</v>
      </c>
      <c r="B61" s="2" t="s">
        <v>616</v>
      </c>
      <c r="C61" s="2" t="s">
        <v>559</v>
      </c>
      <c r="D61" s="2" t="s">
        <v>560</v>
      </c>
    </row>
    <row r="62" spans="1:4" ht="29" x14ac:dyDescent="0.35">
      <c r="A62" s="2" t="s">
        <v>90</v>
      </c>
      <c r="B62" s="2" t="s">
        <v>617</v>
      </c>
      <c r="C62" s="2" t="s">
        <v>559</v>
      </c>
      <c r="D62" s="2" t="s">
        <v>560</v>
      </c>
    </row>
    <row r="63" spans="1:4" ht="29" x14ac:dyDescent="0.35">
      <c r="A63" s="2" t="s">
        <v>91</v>
      </c>
      <c r="B63" s="2" t="s">
        <v>618</v>
      </c>
      <c r="C63" s="2" t="s">
        <v>559</v>
      </c>
      <c r="D63" s="2" t="s">
        <v>560</v>
      </c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0" customWidth="1"/>
    <col min="2" max="2" width="95" customWidth="1"/>
  </cols>
  <sheetData>
    <row r="1" spans="1:2" ht="26.15" customHeight="1" x14ac:dyDescent="0.35">
      <c r="A1" s="13" t="s">
        <v>619</v>
      </c>
      <c r="B1" s="11"/>
    </row>
    <row r="2" spans="1:2" ht="36" customHeight="1" x14ac:dyDescent="0.35">
      <c r="A2" s="10" t="s">
        <v>620</v>
      </c>
      <c r="B2" s="11"/>
    </row>
    <row r="4" spans="1:2" ht="36" customHeight="1" x14ac:dyDescent="0.35">
      <c r="A4" s="1" t="s">
        <v>621</v>
      </c>
      <c r="B4" s="1" t="s">
        <v>622</v>
      </c>
    </row>
    <row r="5" spans="1:2" ht="29" x14ac:dyDescent="0.35">
      <c r="A5" s="2" t="s">
        <v>623</v>
      </c>
      <c r="B5" s="2" t="s">
        <v>624</v>
      </c>
    </row>
    <row r="6" spans="1:2" x14ac:dyDescent="0.35">
      <c r="A6" s="2" t="s">
        <v>625</v>
      </c>
      <c r="B6" s="2" t="s">
        <v>626</v>
      </c>
    </row>
    <row r="7" spans="1:2" x14ac:dyDescent="0.35">
      <c r="A7" s="2" t="s">
        <v>627</v>
      </c>
      <c r="B7" s="2" t="s">
        <v>628</v>
      </c>
    </row>
    <row r="8" spans="1:2" ht="29" x14ac:dyDescent="0.35">
      <c r="A8" s="2" t="s">
        <v>629</v>
      </c>
      <c r="B8" s="2" t="s">
        <v>630</v>
      </c>
    </row>
    <row r="9" spans="1:2" x14ac:dyDescent="0.35">
      <c r="A9" s="2" t="s">
        <v>631</v>
      </c>
      <c r="B9" s="2" t="s">
        <v>632</v>
      </c>
    </row>
    <row r="10" spans="1:2" x14ac:dyDescent="0.35">
      <c r="A10" s="2" t="s">
        <v>633</v>
      </c>
      <c r="B10" s="2" t="s">
        <v>634</v>
      </c>
    </row>
    <row r="11" spans="1:2" x14ac:dyDescent="0.35">
      <c r="A11" s="2" t="s">
        <v>635</v>
      </c>
      <c r="B11" s="2" t="s">
        <v>636</v>
      </c>
    </row>
    <row r="12" spans="1:2" ht="29" x14ac:dyDescent="0.35">
      <c r="A12" s="2" t="s">
        <v>637</v>
      </c>
      <c r="B12" s="2" t="s">
        <v>638</v>
      </c>
    </row>
    <row r="13" spans="1:2" x14ac:dyDescent="0.35">
      <c r="A13" s="2" t="s">
        <v>639</v>
      </c>
      <c r="B13" s="2" t="s">
        <v>640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 Summary</vt:lpstr>
      <vt:lpstr>Task Mining Events</vt:lpstr>
      <vt:lpstr>Video Analytics Events</vt:lpstr>
      <vt:lpstr>Unified Timeline</vt:lpstr>
      <vt:lpstr>Data Dictionary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Gupta, Sarweshwer (Cognizant)</dc:creator>
  <cp:keywords/>
  <dc:description/>
  <cp:lastModifiedBy>Mundada, Monica (Cognizant)</cp:lastModifiedBy>
  <cp:revision/>
  <dcterms:created xsi:type="dcterms:W3CDTF">2026-10-13T13:57:52Z</dcterms:created>
  <dcterms:modified xsi:type="dcterms:W3CDTF">2026-10-14T09:24:21Z</dcterms:modified>
  <cp:category/>
  <cp:contentStatus/>
</cp:coreProperties>
</file>